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hidePivotFieldList="1"/>
  <mc:AlternateContent xmlns:mc="http://schemas.openxmlformats.org/markup-compatibility/2006">
    <mc:Choice Requires="x15">
      <x15ac:absPath xmlns:x15ac="http://schemas.microsoft.com/office/spreadsheetml/2010/11/ac" url="C:\Users\manuj\Desktop\"/>
    </mc:Choice>
  </mc:AlternateContent>
  <xr:revisionPtr revIDLastSave="0" documentId="13_ncr:1_{44F90253-5C11-4C01-BC6E-2FF928308FCC}" xr6:coauthVersionLast="45" xr6:coauthVersionMax="45" xr10:uidLastSave="{00000000-0000-0000-0000-000000000000}"/>
  <bookViews>
    <workbookView xWindow="-120" yWindow="-120" windowWidth="20730" windowHeight="11160" xr2:uid="{00000000-000D-0000-FFFF-FFFF00000000}"/>
  </bookViews>
  <sheets>
    <sheet name="data" sheetId="5" r:id="rId1"/>
    <sheet name="East" sheetId="1" r:id="rId2"/>
    <sheet name="West" sheetId="2" r:id="rId3"/>
    <sheet name="South" sheetId="3" r:id="rId4"/>
    <sheet name="North" sheetId="4" r:id="rId5"/>
    <sheet name="Info" sheetId="20" r:id="rId6"/>
  </sheets>
  <definedNames>
    <definedName name="_xlnm._FilterDatabase" localSheetId="4" hidden="1">North!$A$1:$H$11</definedName>
    <definedName name="_xlnm._FilterDatabase" localSheetId="3" hidden="1">South!$A$1:$H$11</definedName>
    <definedName name="_xlcn.WorksheetConnection_DashboardPune2.xlsxEast1" hidden="1">East!$A$1:$H$11</definedName>
    <definedName name="_xlcn.WorksheetConnection_DashboardPune2.xlsxWest1" hidden="1">West!$A$1:$H$11</definedName>
    <definedName name="Area">#REF!</definedName>
    <definedName name="Date">#REF!</definedName>
    <definedName name="Product">#REF!</definedName>
    <definedName name="Slicer_Area">#N/A</definedName>
    <definedName name="Slicer_Date">#N/A</definedName>
    <definedName name="Slicer_Name">#N/A</definedName>
    <definedName name="Slicer_Product">#N/A</definedName>
    <definedName name="Slicer_Qt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62" i="5" l="1"/>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2" i="4" l="1"/>
  <c r="H13" i="4"/>
  <c r="H14" i="4"/>
  <c r="H12" i="3"/>
  <c r="H13" i="3"/>
  <c r="H12" i="2"/>
  <c r="H12" i="1"/>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<sst xmlns="http://schemas.openxmlformats.org/spreadsheetml/2006/main" count="327" uniqueCount="28">
  <si>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</si>
  <si>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</si>
  <si>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</si>
  <si>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</si>
  <si>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</si>
  <si>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</si>
  <si>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</si>
  <si>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</si>
  <si>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</si>
  <si>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</si>
  <si>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</si>
  <si>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</si>
  <si>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</si>
  <si>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</si>
  <si>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</si>
  <si>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</si>
  <si>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</si>
  <si>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</si>
  <si>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</si>
  <si>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</si>
  <si>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</si>
  <si>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</si>
  <si>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</si>
  <si>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Record Macro to get data in one sheet - Record for East &amp; West only then Edit Macro and paste for South &amp; North</t>
  </si>
  <si>
    <t>Convert Data in to Table feature. Give name as MyData</t>
  </si>
  <si>
    <t>Create Chart - Modify as required.</t>
  </si>
  <si>
    <t>Create another Macro to Insert Slicers and Edit Slicers.</t>
  </si>
  <si>
    <t>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</si>
</sst>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 x14ac:knownFonts="1">
    <font>
      <sz val="11"/>
      <color theme="1"/>
      <name val="Calibri"/>
      <family val="2"/>
      <scheme val="minor"/>
    </font>
    <font>
      <sz val="1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xf numFmtId="0" fontId="1" fillId="0" borderId="0" xfId="0" applyFont="1" applyAlignment="1">
      <alignment horizontal="center"/>
    </xf>
    <xf numFmtId="0" fontId="0" fillId="0" borderId="0" xfId="0" applyNumberFormat="1"/>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strRef>
              <c:f>data!$G$15</c:f>
              <c:strCache>
                <c:ptCount val="1"/>
                <c:pt idx="0">
                  <c:v>Cost</c:v>
                </c:pt>
              </c:strCache>
            </c:strRef>
          </c:tx>
          <c:spPr>
            <a:solidFill>
              <a:schemeClr val="accent2"/>
            </a:solidFill>
            <a:ln>
              <a:noFill/>
            </a:ln>
            <a:effectLst/>
          </c:spPr>
          <c:val>
            <c:numRef>
              <c:f>data!$G$16:$G$62</c:f>
              <c:numCache>
                <c:formatCode>General</c:formatCode>
                <c:ptCount val="47"/>
                <c:pt idx="0">
                  <c:v>2195</c:v>
                </c:pt>
                <c:pt idx="1">
                  <c:v>3971</c:v>
                </c:pt>
                <c:pt idx="2">
                  <c:v>4859</c:v>
                </c:pt>
                <c:pt idx="3">
                  <c:v>2055</c:v>
                </c:pt>
                <c:pt idx="4">
                  <c:v>3892</c:v>
                </c:pt>
                <c:pt idx="5">
                  <c:v>4640</c:v>
                </c:pt>
                <c:pt idx="6">
                  <c:v>4610</c:v>
                </c:pt>
                <c:pt idx="7">
                  <c:v>2221</c:v>
                </c:pt>
                <c:pt idx="8">
                  <c:v>3949</c:v>
                </c:pt>
                <c:pt idx="9">
                  <c:v>2943</c:v>
                </c:pt>
                <c:pt idx="10">
                  <c:v>2000</c:v>
                </c:pt>
                <c:pt idx="11">
                  <c:v>2856</c:v>
                </c:pt>
                <c:pt idx="12">
                  <c:v>2722</c:v>
                </c:pt>
                <c:pt idx="13">
                  <c:v>2900</c:v>
                </c:pt>
                <c:pt idx="14">
                  <c:v>2236</c:v>
                </c:pt>
                <c:pt idx="15">
                  <c:v>4569</c:v>
                </c:pt>
                <c:pt idx="16">
                  <c:v>3782</c:v>
                </c:pt>
                <c:pt idx="17">
                  <c:v>2823</c:v>
                </c:pt>
                <c:pt idx="18">
                  <c:v>4729</c:v>
                </c:pt>
                <c:pt idx="19">
                  <c:v>4007</c:v>
                </c:pt>
                <c:pt idx="20">
                  <c:v>3459</c:v>
                </c:pt>
                <c:pt idx="21">
                  <c:v>2911</c:v>
                </c:pt>
                <c:pt idx="22">
                  <c:v>4057</c:v>
                </c:pt>
                <c:pt idx="23">
                  <c:v>3809</c:v>
                </c:pt>
                <c:pt idx="24">
                  <c:v>3987</c:v>
                </c:pt>
                <c:pt idx="25">
                  <c:v>2346</c:v>
                </c:pt>
                <c:pt idx="26">
                  <c:v>4953</c:v>
                </c:pt>
                <c:pt idx="27">
                  <c:v>4088</c:v>
                </c:pt>
                <c:pt idx="28">
                  <c:v>2531</c:v>
                </c:pt>
                <c:pt idx="29">
                  <c:v>4716</c:v>
                </c:pt>
                <c:pt idx="30">
                  <c:v>2806</c:v>
                </c:pt>
                <c:pt idx="31">
                  <c:v>3350</c:v>
                </c:pt>
                <c:pt idx="32">
                  <c:v>2258</c:v>
                </c:pt>
                <c:pt idx="33">
                  <c:v>1575</c:v>
                </c:pt>
                <c:pt idx="34">
                  <c:v>3270</c:v>
                </c:pt>
                <c:pt idx="35">
                  <c:v>4245</c:v>
                </c:pt>
                <c:pt idx="36">
                  <c:v>4864</c:v>
                </c:pt>
                <c:pt idx="37">
                  <c:v>2381</c:v>
                </c:pt>
                <c:pt idx="38">
                  <c:v>3503</c:v>
                </c:pt>
                <c:pt idx="39">
                  <c:v>3176</c:v>
                </c:pt>
                <c:pt idx="40">
                  <c:v>4192</c:v>
                </c:pt>
                <c:pt idx="41">
                  <c:v>4793</c:v>
                </c:pt>
                <c:pt idx="42">
                  <c:v>2204</c:v>
                </c:pt>
                <c:pt idx="43">
                  <c:v>4183</c:v>
                </c:pt>
                <c:pt idx="44">
                  <c:v>3521</c:v>
                </c:pt>
                <c:pt idx="45">
                  <c:v>5624</c:v>
                </c:pt>
                <c:pt idx="46">
                  <c:v>4526</c:v>
                </c:pt>
              </c:numCache>
            </c:numRef>
          </c:val>
          <c:extLst>
            <c:ext xmlns:c16="http://schemas.microsoft.com/office/drawing/2014/chart" uri="{C3380CC4-5D6E-409C-BE32-E72D297353CC}">
              <c16:uniqueId val="{00000001-EF23-4B6F-8CCF-0C348348A0FC}"/>
            </c:ext>
          </c:extLst>
        </c:ser>
        <c:dLbls>
          <c:showLegendKey val="0"/>
          <c:showVal val="0"/>
          <c:showCatName val="0"/>
          <c:showSerName val="0"/>
          <c:showPercent val="0"/>
          <c:showBubbleSize val="0"/>
        </c:dLbls>
        <c:axId val="443789256"/>
        <c:axId val="446164464"/>
      </c:areaChart>
      <c:barChart>
        <c:barDir val="col"/>
        <c:grouping val="clustered"/>
        <c:varyColors val="0"/>
        <c:ser>
          <c:idx val="2"/>
          <c:order val="2"/>
          <c:tx>
            <c:strRef>
              <c:f>data!$H$15</c:f>
              <c:strCache>
                <c:ptCount val="1"/>
                <c:pt idx="0">
                  <c:v>Total</c:v>
                </c:pt>
              </c:strCache>
            </c:strRef>
          </c:tx>
          <c:spPr>
            <a:solidFill>
              <a:schemeClr val="accent3"/>
            </a:solidFill>
            <a:ln>
              <a:noFill/>
            </a:ln>
            <a:effectLst/>
          </c:spPr>
          <c:invertIfNegative val="0"/>
          <c:val>
            <c:numRef>
              <c:f>data!$H$16:$H$62</c:f>
              <c:numCache>
                <c:formatCode>General</c:formatCode>
                <c:ptCount val="47"/>
                <c:pt idx="0">
                  <c:v>43900</c:v>
                </c:pt>
                <c:pt idx="1">
                  <c:v>63536</c:v>
                </c:pt>
                <c:pt idx="2">
                  <c:v>53449</c:v>
                </c:pt>
                <c:pt idx="3">
                  <c:v>32880</c:v>
                </c:pt>
                <c:pt idx="4">
                  <c:v>66164</c:v>
                </c:pt>
                <c:pt idx="5">
                  <c:v>51040</c:v>
                </c:pt>
                <c:pt idx="6">
                  <c:v>73760</c:v>
                </c:pt>
                <c:pt idx="7">
                  <c:v>39978</c:v>
                </c:pt>
                <c:pt idx="8">
                  <c:v>55286</c:v>
                </c:pt>
                <c:pt idx="9">
                  <c:v>41202</c:v>
                </c:pt>
                <c:pt idx="10">
                  <c:v>20000</c:v>
                </c:pt>
                <c:pt idx="11">
                  <c:v>45696</c:v>
                </c:pt>
                <c:pt idx="12">
                  <c:v>35386</c:v>
                </c:pt>
                <c:pt idx="13">
                  <c:v>52200</c:v>
                </c:pt>
                <c:pt idx="14">
                  <c:v>29068</c:v>
                </c:pt>
                <c:pt idx="15">
                  <c:v>45690</c:v>
                </c:pt>
                <c:pt idx="16">
                  <c:v>41602</c:v>
                </c:pt>
                <c:pt idx="17">
                  <c:v>42345</c:v>
                </c:pt>
                <c:pt idx="18">
                  <c:v>56748</c:v>
                </c:pt>
                <c:pt idx="19">
                  <c:v>48084</c:v>
                </c:pt>
                <c:pt idx="20">
                  <c:v>34590</c:v>
                </c:pt>
                <c:pt idx="21">
                  <c:v>23288</c:v>
                </c:pt>
                <c:pt idx="22">
                  <c:v>40570</c:v>
                </c:pt>
                <c:pt idx="23">
                  <c:v>68562</c:v>
                </c:pt>
                <c:pt idx="24">
                  <c:v>63792</c:v>
                </c:pt>
                <c:pt idx="25">
                  <c:v>23460</c:v>
                </c:pt>
                <c:pt idx="26">
                  <c:v>39624</c:v>
                </c:pt>
                <c:pt idx="27">
                  <c:v>73584</c:v>
                </c:pt>
                <c:pt idx="28">
                  <c:v>37965</c:v>
                </c:pt>
                <c:pt idx="29">
                  <c:v>61308</c:v>
                </c:pt>
                <c:pt idx="30">
                  <c:v>30866</c:v>
                </c:pt>
                <c:pt idx="31">
                  <c:v>16750</c:v>
                </c:pt>
                <c:pt idx="32">
                  <c:v>18064</c:v>
                </c:pt>
                <c:pt idx="33">
                  <c:v>18900</c:v>
                </c:pt>
                <c:pt idx="34">
                  <c:v>16350</c:v>
                </c:pt>
                <c:pt idx="35">
                  <c:v>72165</c:v>
                </c:pt>
                <c:pt idx="36">
                  <c:v>24320</c:v>
                </c:pt>
                <c:pt idx="37">
                  <c:v>14286</c:v>
                </c:pt>
                <c:pt idx="38">
                  <c:v>35030</c:v>
                </c:pt>
                <c:pt idx="39">
                  <c:v>15880</c:v>
                </c:pt>
                <c:pt idx="40">
                  <c:v>50304</c:v>
                </c:pt>
                <c:pt idx="41">
                  <c:v>9586</c:v>
                </c:pt>
                <c:pt idx="42">
                  <c:v>11020</c:v>
                </c:pt>
                <c:pt idx="43">
                  <c:v>75294</c:v>
                </c:pt>
                <c:pt idx="44">
                  <c:v>70420</c:v>
                </c:pt>
                <c:pt idx="45">
                  <c:v>61864</c:v>
                </c:pt>
                <c:pt idx="46">
                  <c:v>81468</c:v>
                </c:pt>
              </c:numCache>
            </c:numRef>
          </c:val>
          <c:extLst>
            <c:ext xmlns:c16="http://schemas.microsoft.com/office/drawing/2014/chart" uri="{C3380CC4-5D6E-409C-BE32-E72D297353CC}">
              <c16:uniqueId val="{00000002-EF23-4B6F-8CCF-0C348348A0FC}"/>
            </c:ext>
          </c:extLst>
        </c:ser>
        <c:dLbls>
          <c:showLegendKey val="0"/>
          <c:showVal val="0"/>
          <c:showCatName val="0"/>
          <c:showSerName val="0"/>
          <c:showPercent val="0"/>
          <c:showBubbleSize val="0"/>
        </c:dLbls>
        <c:gapWidth val="219"/>
        <c:axId val="443789256"/>
        <c:axId val="446164464"/>
      </c:barChart>
      <c:lineChart>
        <c:grouping val="standard"/>
        <c:varyColors val="0"/>
        <c:ser>
          <c:idx val="0"/>
          <c:order val="0"/>
          <c:tx>
            <c:strRef>
              <c:f>data!$F$15</c:f>
              <c:strCache>
                <c:ptCount val="1"/>
                <c:pt idx="0">
                  <c:v>Qty</c:v>
                </c:pt>
              </c:strCache>
            </c:strRef>
          </c:tx>
          <c:spPr>
            <a:ln w="28575" cap="rnd">
              <a:solidFill>
                <a:schemeClr val="accent1"/>
              </a:solidFill>
              <a:round/>
            </a:ln>
            <a:effectLst/>
          </c:spPr>
          <c:marker>
            <c:symbol val="none"/>
          </c:marker>
          <c:val>
            <c:numRef>
              <c:f>data!$F$16:$F$62</c:f>
              <c:numCache>
                <c:formatCode>General</c:formatCode>
                <c:ptCount val="47"/>
                <c:pt idx="0">
                  <c:v>20</c:v>
                </c:pt>
                <c:pt idx="1">
                  <c:v>16</c:v>
                </c:pt>
                <c:pt idx="2">
                  <c:v>11</c:v>
                </c:pt>
                <c:pt idx="3">
                  <c:v>16</c:v>
                </c:pt>
                <c:pt idx="4">
                  <c:v>17</c:v>
                </c:pt>
                <c:pt idx="5">
                  <c:v>11</c:v>
                </c:pt>
                <c:pt idx="6">
                  <c:v>16</c:v>
                </c:pt>
                <c:pt idx="7">
                  <c:v>18</c:v>
                </c:pt>
                <c:pt idx="8">
                  <c:v>14</c:v>
                </c:pt>
                <c:pt idx="9">
                  <c:v>14</c:v>
                </c:pt>
                <c:pt idx="10">
                  <c:v>10</c:v>
                </c:pt>
                <c:pt idx="11">
                  <c:v>16</c:v>
                </c:pt>
                <c:pt idx="12">
                  <c:v>13</c:v>
                </c:pt>
                <c:pt idx="13">
                  <c:v>18</c:v>
                </c:pt>
                <c:pt idx="14">
                  <c:v>13</c:v>
                </c:pt>
                <c:pt idx="15">
                  <c:v>10</c:v>
                </c:pt>
                <c:pt idx="16">
                  <c:v>11</c:v>
                </c:pt>
                <c:pt idx="17">
                  <c:v>15</c:v>
                </c:pt>
                <c:pt idx="18">
                  <c:v>12</c:v>
                </c:pt>
                <c:pt idx="19">
                  <c:v>12</c:v>
                </c:pt>
                <c:pt idx="20">
                  <c:v>10</c:v>
                </c:pt>
                <c:pt idx="21">
                  <c:v>8</c:v>
                </c:pt>
                <c:pt idx="22">
                  <c:v>10</c:v>
                </c:pt>
                <c:pt idx="23">
                  <c:v>18</c:v>
                </c:pt>
                <c:pt idx="24">
                  <c:v>16</c:v>
                </c:pt>
                <c:pt idx="25">
                  <c:v>10</c:v>
                </c:pt>
                <c:pt idx="26">
                  <c:v>8</c:v>
                </c:pt>
                <c:pt idx="27">
                  <c:v>18</c:v>
                </c:pt>
                <c:pt idx="28">
                  <c:v>15</c:v>
                </c:pt>
                <c:pt idx="29">
                  <c:v>13</c:v>
                </c:pt>
                <c:pt idx="30">
                  <c:v>11</c:v>
                </c:pt>
                <c:pt idx="31">
                  <c:v>5</c:v>
                </c:pt>
                <c:pt idx="32">
                  <c:v>8</c:v>
                </c:pt>
                <c:pt idx="33">
                  <c:v>12</c:v>
                </c:pt>
                <c:pt idx="34">
                  <c:v>5</c:v>
                </c:pt>
                <c:pt idx="35">
                  <c:v>17</c:v>
                </c:pt>
                <c:pt idx="36">
                  <c:v>5</c:v>
                </c:pt>
                <c:pt idx="37">
                  <c:v>6</c:v>
                </c:pt>
                <c:pt idx="38">
                  <c:v>10</c:v>
                </c:pt>
                <c:pt idx="39">
                  <c:v>5</c:v>
                </c:pt>
                <c:pt idx="40">
                  <c:v>12</c:v>
                </c:pt>
                <c:pt idx="41">
                  <c:v>2</c:v>
                </c:pt>
                <c:pt idx="42">
                  <c:v>5</c:v>
                </c:pt>
                <c:pt idx="43">
                  <c:v>18</c:v>
                </c:pt>
                <c:pt idx="44">
                  <c:v>20</c:v>
                </c:pt>
                <c:pt idx="45">
                  <c:v>11</c:v>
                </c:pt>
                <c:pt idx="46">
                  <c:v>18</c:v>
                </c:pt>
              </c:numCache>
            </c:numRef>
          </c:val>
          <c:smooth val="0"/>
          <c:extLst>
            <c:ext xmlns:c16="http://schemas.microsoft.com/office/drawing/2014/chart" uri="{C3380CC4-5D6E-409C-BE32-E72D297353CC}">
              <c16:uniqueId val="{00000000-EF23-4B6F-8CCF-0C348348A0FC}"/>
            </c:ext>
          </c:extLst>
        </c:ser>
        <c:dLbls>
          <c:showLegendKey val="0"/>
          <c:showVal val="0"/>
          <c:showCatName val="0"/>
          <c:showSerName val="0"/>
          <c:showPercent val="0"/>
          <c:showBubbleSize val="0"/>
        </c:dLbls>
        <c:marker val="1"/>
        <c:smooth val="0"/>
        <c:axId val="246546200"/>
        <c:axId val="446165448"/>
      </c:lineChart>
      <c:catAx>
        <c:axId val="4437892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164464"/>
        <c:crosses val="autoZero"/>
        <c:auto val="1"/>
        <c:lblAlgn val="ctr"/>
        <c:lblOffset val="100"/>
        <c:noMultiLvlLbl val="0"/>
      </c:catAx>
      <c:valAx>
        <c:axId val="4461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89256"/>
        <c:crosses val="autoZero"/>
        <c:crossBetween val="between"/>
      </c:valAx>
      <c:valAx>
        <c:axId val="44616544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546200"/>
        <c:crosses val="max"/>
        <c:crossBetween val="between"/>
      </c:valAx>
      <c:catAx>
        <c:axId val="246546200"/>
        <c:scaling>
          <c:orientation val="minMax"/>
        </c:scaling>
        <c:delete val="1"/>
        <c:axPos val="b"/>
        <c:majorTickMark val="out"/>
        <c:minorTickMark val="none"/>
        <c:tickLblPos val="nextTo"/>
        <c:crossAx val="446165448"/>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xdr:rowOff>
    </xdr:from>
    <xdr:to>
      <xdr:col>12</xdr:col>
      <xdr:colOff>0</xdr:colOff>
      <xdr:row>13</xdr:row>
      <xdr:rowOff>180976</xdr:rowOff>
    </xdr:to>
    <xdr:graphicFrame macro="">
      <xdr:nvGraphicFramePr>
        <xdr:cNvPr id="34" name="My chart">
          <a:extLst>
            <a:ext uri="{FF2B5EF4-FFF2-40B4-BE49-F238E27FC236}">
              <a16:creationId xmlns:a16="http://schemas.microsoft.com/office/drawing/2014/main" id="{1CDA72F0-84C9-4FBD-B0E6-41B4A9C13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257175</xdr:colOff>
      <xdr:row>16</xdr:row>
      <xdr:rowOff>76200</xdr:rowOff>
    </xdr:from>
    <xdr:to>
      <xdr:col>9</xdr:col>
      <xdr:colOff>276225</xdr:colOff>
      <xdr:row>18</xdr:row>
      <xdr:rowOff>57150</xdr:rowOff>
    </xdr:to>
    <xdr:sp macro="[0]!load_data" textlink="">
      <xdr:nvSpPr>
        <xdr:cNvPr id="35" name="data">
          <a:extLst>
            <a:ext uri="{FF2B5EF4-FFF2-40B4-BE49-F238E27FC236}">
              <a16:creationId xmlns:a16="http://schemas.microsoft.com/office/drawing/2014/main" id="{9E44D125-BA53-4BAC-819D-0C443DD1098A}"/>
            </a:ext>
          </a:extLst>
        </xdr:cNvPr>
        <xdr:cNvSpPr/>
      </xdr:nvSpPr>
      <xdr:spPr>
        <a:xfrm>
          <a:off x="6000750" y="3124200"/>
          <a:ext cx="628650" cy="36195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cap="none" spc="0">
              <a:ln w="0"/>
              <a:solidFill>
                <a:schemeClr val="bg1"/>
              </a:solidFill>
              <a:effectLst>
                <a:outerShdw blurRad="38100" dist="19050" dir="2700000" algn="tl" rotWithShape="0">
                  <a:schemeClr val="dk1">
                    <a:alpha val="40000"/>
                  </a:schemeClr>
                </a:outerShdw>
              </a:effectLst>
              <a:latin typeface="+mn-lt"/>
              <a:ea typeface="+mn-ea"/>
              <a:cs typeface="+mn-cs"/>
            </a:rPr>
            <a:t>Data</a:t>
          </a:r>
        </a:p>
      </xdr:txBody>
    </xdr:sp>
    <xdr:clientData/>
  </xdr:twoCellAnchor>
  <xdr:twoCellAnchor>
    <xdr:from>
      <xdr:col>10</xdr:col>
      <xdr:colOff>28575</xdr:colOff>
      <xdr:row>16</xdr:row>
      <xdr:rowOff>76200</xdr:rowOff>
    </xdr:from>
    <xdr:to>
      <xdr:col>11</xdr:col>
      <xdr:colOff>238125</xdr:colOff>
      <xdr:row>18</xdr:row>
      <xdr:rowOff>57150</xdr:rowOff>
    </xdr:to>
    <xdr:sp macro="[0]!Slicers" textlink="">
      <xdr:nvSpPr>
        <xdr:cNvPr id="36" name="Slicers_butten">
          <a:extLst>
            <a:ext uri="{FF2B5EF4-FFF2-40B4-BE49-F238E27FC236}">
              <a16:creationId xmlns:a16="http://schemas.microsoft.com/office/drawing/2014/main" id="{1BA52395-CCCD-4680-849F-91BD5F54D9C5}"/>
            </a:ext>
          </a:extLst>
        </xdr:cNvPr>
        <xdr:cNvSpPr/>
      </xdr:nvSpPr>
      <xdr:spPr>
        <a:xfrm>
          <a:off x="6991350" y="3124200"/>
          <a:ext cx="819150" cy="361950"/>
        </a:xfrm>
        <a:prstGeom prst="roundRect">
          <a:avLst/>
        </a:prstGeom>
        <a:solidFill>
          <a:schemeClr val="accent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cap="none" spc="0">
              <a:ln w="0"/>
              <a:solidFill>
                <a:schemeClr val="bg1"/>
              </a:solidFill>
              <a:effectLst>
                <a:outerShdw blurRad="38100" dist="19050" dir="2700000" algn="tl" rotWithShape="0">
                  <a:schemeClr val="dk1">
                    <a:alpha val="40000"/>
                  </a:schemeClr>
                </a:outerShdw>
              </a:effectLst>
              <a:latin typeface="+mn-lt"/>
              <a:ea typeface="+mn-ea"/>
              <a:cs typeface="+mn-cs"/>
            </a:rPr>
            <a:t>Slicers</a:t>
          </a:r>
        </a:p>
      </xdr:txBody>
    </xdr:sp>
    <xdr:clientData/>
  </xdr:twoCellAnchor>
  <xdr:twoCellAnchor editAs="absolute">
    <xdr:from>
      <xdr:col>12</xdr:col>
      <xdr:colOff>0</xdr:colOff>
      <xdr:row>13</xdr:row>
      <xdr:rowOff>161925</xdr:rowOff>
    </xdr:from>
    <xdr:to>
      <xdr:col>17</xdr:col>
      <xdr:colOff>190500</xdr:colOff>
      <xdr:row>18</xdr:row>
      <xdr:rowOff>123825</xdr:rowOff>
    </xdr:to>
    <mc:AlternateContent xmlns:mc="http://schemas.openxmlformats.org/markup-compatibility/2006">
      <mc:Choice xmlns:sle15="http://schemas.microsoft.com/office/drawing/2012/slicer" Requires="sle15">
        <xdr:graphicFrame macro="">
          <xdr:nvGraphicFramePr>
            <xdr:cNvPr id="37" name="Date">
              <a:extLst>
                <a:ext uri="{FF2B5EF4-FFF2-40B4-BE49-F238E27FC236}">
                  <a16:creationId xmlns:a16="http://schemas.microsoft.com/office/drawing/2014/main" id="{3AF4778D-DA66-46A1-ACE5-3226E7FB0AC8}"/>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8181975" y="2638425"/>
              <a:ext cx="3238500" cy="91440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0</xdr:colOff>
      <xdr:row>8</xdr:row>
      <xdr:rowOff>142875</xdr:rowOff>
    </xdr:from>
    <xdr:to>
      <xdr:col>17</xdr:col>
      <xdr:colOff>200025</xdr:colOff>
      <xdr:row>13</xdr:row>
      <xdr:rowOff>114300</xdr:rowOff>
    </xdr:to>
    <mc:AlternateContent xmlns:mc="http://schemas.openxmlformats.org/markup-compatibility/2006">
      <mc:Choice xmlns:sle15="http://schemas.microsoft.com/office/drawing/2012/slicer" Requires="sle15">
        <xdr:graphicFrame macro="">
          <xdr:nvGraphicFramePr>
            <xdr:cNvPr id="38" name="Product">
              <a:extLst>
                <a:ext uri="{FF2B5EF4-FFF2-40B4-BE49-F238E27FC236}">
                  <a16:creationId xmlns:a16="http://schemas.microsoft.com/office/drawing/2014/main" id="{65F3EC5B-1BB4-4D7D-BAD2-E0EDD10E6163}"/>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8181975" y="1666875"/>
              <a:ext cx="3248025" cy="9239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19050</xdr:colOff>
      <xdr:row>3</xdr:row>
      <xdr:rowOff>123825</xdr:rowOff>
    </xdr:from>
    <xdr:to>
      <xdr:col>17</xdr:col>
      <xdr:colOff>219075</xdr:colOff>
      <xdr:row>8</xdr:row>
      <xdr:rowOff>76200</xdr:rowOff>
    </xdr:to>
    <mc:AlternateContent xmlns:mc="http://schemas.openxmlformats.org/markup-compatibility/2006">
      <mc:Choice xmlns:sle15="http://schemas.microsoft.com/office/drawing/2012/slicer" Requires="sle15">
        <xdr:graphicFrame macro="">
          <xdr:nvGraphicFramePr>
            <xdr:cNvPr id="39" name="Name">
              <a:extLst>
                <a:ext uri="{FF2B5EF4-FFF2-40B4-BE49-F238E27FC236}">
                  <a16:creationId xmlns:a16="http://schemas.microsoft.com/office/drawing/2014/main" id="{709DE592-047C-420D-8BA8-D74F18B1FC80}"/>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8201025" y="695325"/>
              <a:ext cx="3248025" cy="90487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19050</xdr:colOff>
      <xdr:row>0</xdr:row>
      <xdr:rowOff>47625</xdr:rowOff>
    </xdr:from>
    <xdr:to>
      <xdr:col>17</xdr:col>
      <xdr:colOff>228600</xdr:colOff>
      <xdr:row>3</xdr:row>
      <xdr:rowOff>66675</xdr:rowOff>
    </xdr:to>
    <mc:AlternateContent xmlns:mc="http://schemas.openxmlformats.org/markup-compatibility/2006">
      <mc:Choice xmlns:sle15="http://schemas.microsoft.com/office/drawing/2012/slicer" Requires="sle15">
        <xdr:graphicFrame macro="">
          <xdr:nvGraphicFramePr>
            <xdr:cNvPr id="40" name="Area">
              <a:extLst>
                <a:ext uri="{FF2B5EF4-FFF2-40B4-BE49-F238E27FC236}">
                  <a16:creationId xmlns:a16="http://schemas.microsoft.com/office/drawing/2014/main" id="{C3F8C3B2-0C8C-40EF-8C28-12BC5C780E9F}"/>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dr:sp macro="" textlink="">
          <xdr:nvSpPr>
            <xdr:cNvPr id="0" name=""/>
            <xdr:cNvSpPr>
              <a:spLocks noTextEdit="1"/>
            </xdr:cNvSpPr>
          </xdr:nvSpPr>
          <xdr:spPr>
            <a:xfrm>
              <a:off x="8201025" y="47625"/>
              <a:ext cx="3257550" cy="59055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257175</xdr:colOff>
      <xdr:row>0</xdr:row>
      <xdr:rowOff>28575</xdr:rowOff>
    </xdr:from>
    <xdr:to>
      <xdr:col>19</xdr:col>
      <xdr:colOff>95250</xdr:colOff>
      <xdr:row>18</xdr:row>
      <xdr:rowOff>114300</xdr:rowOff>
    </xdr:to>
    <mc:AlternateContent xmlns:mc="http://schemas.openxmlformats.org/markup-compatibility/2006">
      <mc:Choice xmlns:sle15="http://schemas.microsoft.com/office/drawing/2012/slicer" Requires="sle15">
        <xdr:graphicFrame macro="">
          <xdr:nvGraphicFramePr>
            <xdr:cNvPr id="41" name="Qty">
              <a:extLst>
                <a:ext uri="{FF2B5EF4-FFF2-40B4-BE49-F238E27FC236}">
                  <a16:creationId xmlns:a16="http://schemas.microsoft.com/office/drawing/2014/main" id="{76A2A796-8413-409E-A415-B79568A1CC0D}"/>
                </a:ext>
              </a:extLst>
            </xdr:cNvPr>
            <xdr:cNvGraphicFramePr/>
          </xdr:nvGraphicFramePr>
          <xdr:xfrm>
            <a:off x="0" y="0"/>
            <a:ext cx="0" cy="0"/>
          </xdr:xfrm>
          <a:graphic>
            <a:graphicData uri="http://schemas.microsoft.com/office/drawing/2010/slicer">
              <sle:slicer xmlns:sle="http://schemas.microsoft.com/office/drawing/2010/slicer" name="Qty"/>
            </a:graphicData>
          </a:graphic>
        </xdr:graphicFrame>
      </mc:Choice>
      <mc:Fallback>
        <xdr:sp macro="" textlink="">
          <xdr:nvSpPr>
            <xdr:cNvPr id="0" name=""/>
            <xdr:cNvSpPr>
              <a:spLocks noTextEdit="1"/>
            </xdr:cNvSpPr>
          </xdr:nvSpPr>
          <xdr:spPr>
            <a:xfrm>
              <a:off x="11487150" y="28575"/>
              <a:ext cx="1057275" cy="35147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346</xdr:col>
      <xdr:colOff>590550</xdr:colOff>
      <xdr:row>5</xdr:row>
      <xdr:rowOff>142875</xdr:rowOff>
    </xdr:from>
    <xdr:to>
      <xdr:col>348</xdr:col>
      <xdr:colOff>0</xdr:colOff>
      <xdr:row>7</xdr:row>
      <xdr:rowOff>123825</xdr:rowOff>
    </xdr:to>
    <xdr:sp macro="[0]!load_data" textlink="">
      <xdr:nvSpPr>
        <xdr:cNvPr id="2" name="data">
          <a:extLst>
            <a:ext uri="{FF2B5EF4-FFF2-40B4-BE49-F238E27FC236}">
              <a16:creationId xmlns:a16="http://schemas.microsoft.com/office/drawing/2014/main" id="{D0763956-FBB4-4B0C-8800-F96E85C888C7}"/>
            </a:ext>
          </a:extLst>
        </xdr:cNvPr>
        <xdr:cNvSpPr/>
      </xdr:nvSpPr>
      <xdr:spPr>
        <a:xfrm>
          <a:off x="212988525" y="1095375"/>
          <a:ext cx="628650" cy="36195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cap="none" spc="0">
              <a:ln w="0"/>
              <a:solidFill>
                <a:schemeClr val="bg1"/>
              </a:solidFill>
              <a:effectLst>
                <a:outerShdw blurRad="38100" dist="19050" dir="2700000" algn="tl" rotWithShape="0">
                  <a:schemeClr val="dk1">
                    <a:alpha val="40000"/>
                  </a:schemeClr>
                </a:outerShdw>
              </a:effectLst>
              <a:latin typeface="+mn-lt"/>
              <a:ea typeface="+mn-ea"/>
              <a:cs typeface="+mn-cs"/>
            </a:rPr>
            <a:t>Data</a:t>
          </a:r>
        </a:p>
      </xdr:txBody>
    </xdr:sp>
    <xdr:clientData/>
  </xdr:twoCellAnchor>
  <xdr:twoCellAnchor editAs="oneCell">
    <xdr:from>
      <xdr:col>346</xdr:col>
      <xdr:colOff>76200</xdr:colOff>
      <xdr:row>5</xdr:row>
      <xdr:rowOff>85725</xdr:rowOff>
    </xdr:from>
    <xdr:to>
      <xdr:col>348</xdr:col>
      <xdr:colOff>505055</xdr:colOff>
      <xdr:row>8</xdr:row>
      <xdr:rowOff>123910</xdr:rowOff>
    </xdr:to>
    <xdr:pic>
      <xdr:nvPicPr>
        <xdr:cNvPr id="3" name="Picture 2">
          <a:extLst>
            <a:ext uri="{FF2B5EF4-FFF2-40B4-BE49-F238E27FC236}">
              <a16:creationId xmlns:a16="http://schemas.microsoft.com/office/drawing/2014/main" id="{2F180295-25FA-4D7E-8D61-BE5113A68EF9}"/>
            </a:ext>
          </a:extLst>
        </xdr:cNvPr>
        <xdr:cNvPicPr>
          <a:picLocks noChangeAspect="1"/>
        </xdr:cNvPicPr>
      </xdr:nvPicPr>
      <xdr:blipFill>
        <a:blip xmlns:r="http://schemas.openxmlformats.org/officeDocument/2006/relationships" r:embed="rId1"/>
        <a:stretch>
          <a:fillRect/>
        </a:stretch>
      </xdr:blipFill>
      <xdr:spPr>
        <a:xfrm>
          <a:off x="212474175" y="1038225"/>
          <a:ext cx="1648055" cy="60968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346</xdr:col>
      <xdr:colOff>504825</xdr:colOff>
      <xdr:row>5</xdr:row>
      <xdr:rowOff>123825</xdr:rowOff>
    </xdr:from>
    <xdr:to>
      <xdr:col>348</xdr:col>
      <xdr:colOff>104775</xdr:colOff>
      <xdr:row>7</xdr:row>
      <xdr:rowOff>104775</xdr:rowOff>
    </xdr:to>
    <xdr:sp macro="[0]!Slicers" textlink="">
      <xdr:nvSpPr>
        <xdr:cNvPr id="2" name="Slicers_butten">
          <a:extLst>
            <a:ext uri="{FF2B5EF4-FFF2-40B4-BE49-F238E27FC236}">
              <a16:creationId xmlns:a16="http://schemas.microsoft.com/office/drawing/2014/main" id="{3E16375E-B541-442E-B7F7-C71704DD07C7}"/>
            </a:ext>
          </a:extLst>
        </xdr:cNvPr>
        <xdr:cNvSpPr/>
      </xdr:nvSpPr>
      <xdr:spPr>
        <a:xfrm>
          <a:off x="212759925" y="1076325"/>
          <a:ext cx="819150" cy="361950"/>
        </a:xfrm>
        <a:prstGeom prst="roundRect">
          <a:avLst/>
        </a:prstGeom>
        <a:solidFill>
          <a:schemeClr val="accent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cap="none" spc="0">
              <a:ln w="0"/>
              <a:solidFill>
                <a:schemeClr val="bg1"/>
              </a:solidFill>
              <a:effectLst>
                <a:outerShdw blurRad="38100" dist="19050" dir="2700000" algn="tl" rotWithShape="0">
                  <a:schemeClr val="dk1">
                    <a:alpha val="40000"/>
                  </a:schemeClr>
                </a:outerShdw>
              </a:effectLst>
              <a:latin typeface="+mn-lt"/>
              <a:ea typeface="+mn-ea"/>
              <a:cs typeface="+mn-cs"/>
            </a:rPr>
            <a:t>Slicers</a:t>
          </a:r>
        </a:p>
      </xdr:txBody>
    </xdr:sp>
    <xdr:clientData/>
  </xdr:twoCellAnchor>
  <xdr:twoCellAnchor editAs="oneCell">
    <xdr:from>
      <xdr:col>346</xdr:col>
      <xdr:colOff>76200</xdr:colOff>
      <xdr:row>5</xdr:row>
      <xdr:rowOff>85725</xdr:rowOff>
    </xdr:from>
    <xdr:to>
      <xdr:col>348</xdr:col>
      <xdr:colOff>505055</xdr:colOff>
      <xdr:row>8</xdr:row>
      <xdr:rowOff>123910</xdr:rowOff>
    </xdr:to>
    <xdr:pic>
      <xdr:nvPicPr>
        <xdr:cNvPr id="3" name="Picture 2">
          <a:extLst>
            <a:ext uri="{FF2B5EF4-FFF2-40B4-BE49-F238E27FC236}">
              <a16:creationId xmlns:a16="http://schemas.microsoft.com/office/drawing/2014/main" id="{36B031C3-AE67-438A-940D-936FA6CD47FB}"/>
            </a:ext>
          </a:extLst>
        </xdr:cNvPr>
        <xdr:cNvPicPr>
          <a:picLocks noChangeAspect="1"/>
        </xdr:cNvPicPr>
      </xdr:nvPicPr>
      <xdr:blipFill>
        <a:blip xmlns:r="http://schemas.openxmlformats.org/officeDocument/2006/relationships" r:embed="rId1"/>
        <a:stretch>
          <a:fillRect/>
        </a:stretch>
      </xdr:blipFill>
      <xdr:spPr>
        <a:xfrm>
          <a:off x="212331300" y="1038225"/>
          <a:ext cx="1648055" cy="609685"/>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0B6ECF69-852D-4266-BBED-0CFBE448FF3D}" sourceName="Date">
  <extLst>
    <x:ext xmlns:x15="http://schemas.microsoft.com/office/spreadsheetml/2010/11/main" uri="{2F2917AC-EB37-4324-AD4E-5DD8C200BD13}">
      <x15:tableSlicerCache tableId="5"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351B790-64E1-4F0D-83A4-C1597EA27B7C}" sourceName="Product">
  <extLst>
    <x:ext xmlns:x15="http://schemas.microsoft.com/office/spreadsheetml/2010/11/main" uri="{2F2917AC-EB37-4324-AD4E-5DD8C200BD13}">
      <x15:tableSlicerCache tableId="5"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99BA37F9-D12E-4329-8DBA-BD9842418753}" sourceName="Name">
  <extLst>
    <x:ext xmlns:x15="http://schemas.microsoft.com/office/spreadsheetml/2010/11/main" uri="{2F2917AC-EB37-4324-AD4E-5DD8C200BD13}">
      <x15:tableSlicerCache tableId="5"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F960675C-274F-4533-AF7B-1BFF7D732EDC}" sourceName="Area">
  <extLst>
    <x:ext xmlns:x15="http://schemas.microsoft.com/office/spreadsheetml/2010/11/main" uri="{2F2917AC-EB37-4324-AD4E-5DD8C200BD13}">
      <x15:tableSlicerCache tableId="5" column="5"/>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ty" xr10:uid="{DC61F3F3-5CE0-473F-A895-A6D15D566D8A}" sourceName="Qty">
  <extLst>
    <x:ext xmlns:x15="http://schemas.microsoft.com/office/spreadsheetml/2010/11/main" uri="{2F2917AC-EB37-4324-AD4E-5DD8C200BD13}">
      <x15:tableSlicerCache tableId="5"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56530BE6-2AFB-411F-81C6-34B7FCD4B4F9}" cache="Slicer_Date" caption="Date" columnCount="3" style="SlicerStyleDark3" rowHeight="241300"/>
  <slicer name="Product" xr10:uid="{110804B9-9A95-473E-9630-B5435B9118C6}" cache="Slicer_Product" caption="Product" columnCount="3" style="SlicerStyleDark2" rowHeight="241300"/>
  <slicer name="Name" xr10:uid="{E7319984-7D6D-4F9D-8354-793369162310}" cache="Slicer_Name" caption="Name" columnCount="3" style="SlicerStyleDark4" rowHeight="241300"/>
  <slicer name="Area" xr10:uid="{57869E3E-D7AA-4E64-9EA3-3745141752D6}" cache="Slicer_Area" caption="Area" columnCount="4" style="SlicerStyleDark6" rowHeight="241300"/>
  <slicer name="Qty" xr10:uid="{C78E1736-1B2A-4866-8C3F-70D278CC92B4}" cache="Slicer_Qty" caption="Qty" style="SlicerStyleDark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5FCA2D-CCFE-42FE-B882-BC5C73AC688A}" name="My table" displayName="My_table" ref="A15:H62" totalsRowShown="0">
  <autoFilter ref="A15:H62" xr:uid="{98F99495-36A7-4833-B0CB-8CFAE3FCF6D3}"/>
  <tableColumns count="8">
    <tableColumn id="1" xr3:uid="{D4CF743D-EEFA-446B-B4D7-C707130E57EF}" name="Sr. No."/>
    <tableColumn id="2" xr3:uid="{9704CC68-D5DB-443A-AC54-60DBF972F17B}" name="Date" dataDxfId="0"/>
    <tableColumn id="3" xr3:uid="{A6EC6937-933B-4A85-B933-59B9941905A8}" name="Product"/>
    <tableColumn id="4" xr3:uid="{E3EFEEF0-02E1-4EBF-9E30-950FEC2A1DEB}" name="Name"/>
    <tableColumn id="5" xr3:uid="{FA195FEF-880E-4C3D-8963-0A90A01A46DE}" name="Area"/>
    <tableColumn id="6" xr3:uid="{714A601D-4E6C-4985-904D-1AF73FCBF562}" name="Qty"/>
    <tableColumn id="7" xr3:uid="{91598CAC-1CE9-4979-92FA-0117AEFEDDA9}" name="Cost"/>
    <tableColumn id="8" xr3:uid="{EEA5A60C-EBB3-40AE-878C-E5D0BB7C8A0B}" name="Total">
      <calculatedColumnFormula>F16*G16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5:H84"/>
  <sheetViews>
    <sheetView tabSelected="1" zoomScaleNormal="100" workbookViewId="0">
      <selection activeCell="N15" sqref="N15"/>
    </sheetView>
  </sheetViews>
  <sheetFormatPr defaultRowHeight="15" x14ac:dyDescent="0.25"/>
  <cols>
    <col min="2" max="2" width="11.28515625" style="3" bestFit="1" customWidth="1"/>
    <col min="3" max="3" width="10" customWidth="1"/>
    <col min="4" max="5" width="10.28515625" bestFit="1" customWidth="1"/>
    <col min="6" max="6" width="11.28515625" style="6" bestFit="1" customWidth="1"/>
    <col min="7" max="7" width="11.7109375" style="6" bestFit="1" customWidth="1"/>
    <col min="8" max="8" width="12.140625" style="6" bestFit="1" customWidth="1"/>
  </cols>
  <sheetData>
    <row r="15" spans="1:8" x14ac:dyDescent="0.25">
      <c r="A15" t="s">
        <v>7</v>
      </c>
      <c r="B15" t="s">
        <v>0</v>
      </c>
      <c r="C15" t="s">
        <v>1</v>
      </c>
      <c r="D15" t="s">
        <v>2</v>
      </c>
      <c r="E15" t="s">
        <v>3</v>
      </c>
      <c r="F15" t="s">
        <v>4</v>
      </c>
      <c r="G15" t="s">
        <v>5</v>
      </c>
      <c r="H15" t="s">
        <v>6</v>
      </c>
    </row>
    <row r="16" spans="1:8" x14ac:dyDescent="0.25">
      <c r="A16">
        <v>1</v>
      </c>
      <c r="B16" s="3">
        <v>40179</v>
      </c>
      <c r="C16" t="s">
        <v>10</v>
      </c>
      <c r="D16" t="s">
        <v>15</v>
      </c>
      <c r="E16" t="s">
        <v>9</v>
      </c>
      <c r="F16">
        <v>20</v>
      </c>
      <c r="G16">
        <v>2195</v>
      </c>
      <c r="H16">
        <f>F16*G16</f>
        <v>43900</v>
      </c>
    </row>
    <row r="17" spans="1:8" x14ac:dyDescent="0.25">
      <c r="A17">
        <v>2</v>
      </c>
      <c r="B17" s="3">
        <v>40179</v>
      </c>
      <c r="C17" t="s">
        <v>8</v>
      </c>
      <c r="D17" t="s">
        <v>16</v>
      </c>
      <c r="E17" t="s">
        <v>9</v>
      </c>
      <c r="F17">
        <v>16</v>
      </c>
      <c r="G17">
        <v>3971</v>
      </c>
      <c r="H17">
        <f t="shared" ref="H17:H26" si="0">F17*G17</f>
        <v>63536</v>
      </c>
    </row>
    <row r="18" spans="1:8" x14ac:dyDescent="0.25">
      <c r="A18">
        <v>3</v>
      </c>
      <c r="B18" s="3">
        <v>40180</v>
      </c>
      <c r="C18" t="s">
        <v>12</v>
      </c>
      <c r="D18" t="s">
        <v>17</v>
      </c>
      <c r="E18" t="s">
        <v>9</v>
      </c>
      <c r="F18">
        <v>11</v>
      </c>
      <c r="G18">
        <v>4859</v>
      </c>
      <c r="H18">
        <f t="shared" si="0"/>
        <v>53449</v>
      </c>
    </row>
    <row r="19" spans="1:8" x14ac:dyDescent="0.25">
      <c r="A19">
        <v>4</v>
      </c>
      <c r="B19" s="3">
        <v>40180</v>
      </c>
      <c r="C19" t="s">
        <v>14</v>
      </c>
      <c r="D19" t="s">
        <v>18</v>
      </c>
      <c r="E19" t="s">
        <v>9</v>
      </c>
      <c r="F19">
        <v>16</v>
      </c>
      <c r="G19">
        <v>2055</v>
      </c>
      <c r="H19">
        <f t="shared" si="0"/>
        <v>32880</v>
      </c>
    </row>
    <row r="20" spans="1:8" x14ac:dyDescent="0.25">
      <c r="A20">
        <v>5</v>
      </c>
      <c r="B20" s="3">
        <v>40181</v>
      </c>
      <c r="C20" t="s">
        <v>14</v>
      </c>
      <c r="D20" t="s">
        <v>19</v>
      </c>
      <c r="E20" t="s">
        <v>9</v>
      </c>
      <c r="F20">
        <v>17</v>
      </c>
      <c r="G20">
        <v>3892</v>
      </c>
      <c r="H20">
        <f t="shared" si="0"/>
        <v>66164</v>
      </c>
    </row>
    <row r="21" spans="1:8" x14ac:dyDescent="0.25">
      <c r="A21">
        <v>6</v>
      </c>
      <c r="B21" s="3">
        <v>40181</v>
      </c>
      <c r="C21" t="s">
        <v>10</v>
      </c>
      <c r="D21" t="s">
        <v>15</v>
      </c>
      <c r="E21" t="s">
        <v>9</v>
      </c>
      <c r="F21">
        <v>11</v>
      </c>
      <c r="G21">
        <v>4640</v>
      </c>
      <c r="H21">
        <f t="shared" si="0"/>
        <v>51040</v>
      </c>
    </row>
    <row r="22" spans="1:8" x14ac:dyDescent="0.25">
      <c r="A22">
        <v>7</v>
      </c>
      <c r="B22" s="3">
        <v>40182</v>
      </c>
      <c r="C22" t="s">
        <v>8</v>
      </c>
      <c r="D22" t="s">
        <v>16</v>
      </c>
      <c r="E22" t="s">
        <v>9</v>
      </c>
      <c r="F22">
        <v>16</v>
      </c>
      <c r="G22">
        <v>4610</v>
      </c>
      <c r="H22">
        <f t="shared" si="0"/>
        <v>73760</v>
      </c>
    </row>
    <row r="23" spans="1:8" x14ac:dyDescent="0.25">
      <c r="A23">
        <v>8</v>
      </c>
      <c r="B23" s="3">
        <v>40182</v>
      </c>
      <c r="C23" t="s">
        <v>12</v>
      </c>
      <c r="D23" t="s">
        <v>17</v>
      </c>
      <c r="E23" t="s">
        <v>9</v>
      </c>
      <c r="F23">
        <v>18</v>
      </c>
      <c r="G23">
        <v>2221</v>
      </c>
      <c r="H23">
        <f t="shared" si="0"/>
        <v>39978</v>
      </c>
    </row>
    <row r="24" spans="1:8" x14ac:dyDescent="0.25">
      <c r="A24">
        <v>9</v>
      </c>
      <c r="B24" s="3">
        <v>40183</v>
      </c>
      <c r="C24" t="s">
        <v>11</v>
      </c>
      <c r="D24" t="s">
        <v>18</v>
      </c>
      <c r="E24" t="s">
        <v>9</v>
      </c>
      <c r="F24">
        <v>14</v>
      </c>
      <c r="G24">
        <v>3949</v>
      </c>
      <c r="H24">
        <f t="shared" si="0"/>
        <v>55286</v>
      </c>
    </row>
    <row r="25" spans="1:8" x14ac:dyDescent="0.25">
      <c r="A25">
        <v>10</v>
      </c>
      <c r="B25" s="3">
        <v>40183</v>
      </c>
      <c r="C25" t="s">
        <v>14</v>
      </c>
      <c r="D25" t="s">
        <v>19</v>
      </c>
      <c r="E25" t="s">
        <v>9</v>
      </c>
      <c r="F25">
        <v>14</v>
      </c>
      <c r="G25">
        <v>2943</v>
      </c>
      <c r="H25">
        <f t="shared" si="0"/>
        <v>41202</v>
      </c>
    </row>
    <row r="26" spans="1:8" x14ac:dyDescent="0.25">
      <c r="A26">
        <v>11</v>
      </c>
      <c r="B26" s="3">
        <v>40183</v>
      </c>
      <c r="C26" t="s">
        <v>13</v>
      </c>
      <c r="D26" t="s">
        <v>17</v>
      </c>
      <c r="E26" t="s">
        <v>9</v>
      </c>
      <c r="F26">
        <v>10</v>
      </c>
      <c r="G26">
        <v>2000</v>
      </c>
      <c r="H26">
        <f t="shared" si="0"/>
        <v>20000</v>
      </c>
    </row>
    <row r="27" spans="1:8" x14ac:dyDescent="0.25">
      <c r="A27">
        <v>12</v>
      </c>
      <c r="B27" s="3">
        <v>40179</v>
      </c>
      <c r="C27" t="s">
        <v>8</v>
      </c>
      <c r="D27" t="s">
        <v>15</v>
      </c>
      <c r="E27" t="s">
        <v>20</v>
      </c>
      <c r="F27">
        <v>16</v>
      </c>
      <c r="G27">
        <v>2856</v>
      </c>
      <c r="H27">
        <f>F27*G27</f>
        <v>45696</v>
      </c>
    </row>
    <row r="28" spans="1:8" x14ac:dyDescent="0.25">
      <c r="A28">
        <v>13</v>
      </c>
      <c r="B28" s="3">
        <v>40179</v>
      </c>
      <c r="C28" t="s">
        <v>10</v>
      </c>
      <c r="D28" t="s">
        <v>16</v>
      </c>
      <c r="E28" t="s">
        <v>20</v>
      </c>
      <c r="F28">
        <v>13</v>
      </c>
      <c r="G28">
        <v>2722</v>
      </c>
      <c r="H28">
        <f t="shared" ref="H28:H37" si="1">F28*G28</f>
        <v>35386</v>
      </c>
    </row>
    <row r="29" spans="1:8" x14ac:dyDescent="0.25">
      <c r="A29">
        <v>14</v>
      </c>
      <c r="B29" s="3">
        <v>40180</v>
      </c>
      <c r="C29" t="s">
        <v>11</v>
      </c>
      <c r="D29" t="s">
        <v>17</v>
      </c>
      <c r="E29" t="s">
        <v>20</v>
      </c>
      <c r="F29">
        <v>18</v>
      </c>
      <c r="G29">
        <v>2900</v>
      </c>
      <c r="H29">
        <f t="shared" si="1"/>
        <v>52200</v>
      </c>
    </row>
    <row r="30" spans="1:8" x14ac:dyDescent="0.25">
      <c r="A30">
        <v>15</v>
      </c>
      <c r="B30" s="3">
        <v>40180</v>
      </c>
      <c r="C30" t="s">
        <v>12</v>
      </c>
      <c r="D30" t="s">
        <v>18</v>
      </c>
      <c r="E30" t="s">
        <v>20</v>
      </c>
      <c r="F30">
        <v>13</v>
      </c>
      <c r="G30">
        <v>2236</v>
      </c>
      <c r="H30">
        <f t="shared" si="1"/>
        <v>29068</v>
      </c>
    </row>
    <row r="31" spans="1:8" x14ac:dyDescent="0.25">
      <c r="A31">
        <v>16</v>
      </c>
      <c r="B31" s="3">
        <v>40181</v>
      </c>
      <c r="C31" t="s">
        <v>13</v>
      </c>
      <c r="D31" t="s">
        <v>19</v>
      </c>
      <c r="E31" t="s">
        <v>20</v>
      </c>
      <c r="F31">
        <v>10</v>
      </c>
      <c r="G31">
        <v>4569</v>
      </c>
      <c r="H31">
        <f t="shared" si="1"/>
        <v>45690</v>
      </c>
    </row>
    <row r="32" spans="1:8" x14ac:dyDescent="0.25">
      <c r="A32">
        <v>17</v>
      </c>
      <c r="B32" s="3">
        <v>40181</v>
      </c>
      <c r="C32" t="s">
        <v>12</v>
      </c>
      <c r="D32" t="s">
        <v>15</v>
      </c>
      <c r="E32" t="s">
        <v>20</v>
      </c>
      <c r="F32">
        <v>11</v>
      </c>
      <c r="G32">
        <v>3782</v>
      </c>
      <c r="H32">
        <f t="shared" si="1"/>
        <v>41602</v>
      </c>
    </row>
    <row r="33" spans="1:8" x14ac:dyDescent="0.25">
      <c r="A33">
        <v>18</v>
      </c>
      <c r="B33" s="3">
        <v>40182</v>
      </c>
      <c r="C33" t="s">
        <v>10</v>
      </c>
      <c r="D33" t="s">
        <v>16</v>
      </c>
      <c r="E33" t="s">
        <v>20</v>
      </c>
      <c r="F33">
        <v>15</v>
      </c>
      <c r="G33">
        <v>2823</v>
      </c>
      <c r="H33">
        <f t="shared" si="1"/>
        <v>42345</v>
      </c>
    </row>
    <row r="34" spans="1:8" x14ac:dyDescent="0.25">
      <c r="A34">
        <v>19</v>
      </c>
      <c r="B34" s="3">
        <v>40182</v>
      </c>
      <c r="C34" t="s">
        <v>11</v>
      </c>
      <c r="D34" t="s">
        <v>17</v>
      </c>
      <c r="E34" t="s">
        <v>20</v>
      </c>
      <c r="F34">
        <v>12</v>
      </c>
      <c r="G34">
        <v>4729</v>
      </c>
      <c r="H34">
        <f t="shared" si="1"/>
        <v>56748</v>
      </c>
    </row>
    <row r="35" spans="1:8" x14ac:dyDescent="0.25">
      <c r="A35">
        <v>20</v>
      </c>
      <c r="B35" s="3">
        <v>40183</v>
      </c>
      <c r="C35" t="s">
        <v>12</v>
      </c>
      <c r="D35" t="s">
        <v>18</v>
      </c>
      <c r="E35" t="s">
        <v>20</v>
      </c>
      <c r="F35">
        <v>12</v>
      </c>
      <c r="G35">
        <v>4007</v>
      </c>
      <c r="H35">
        <f t="shared" si="1"/>
        <v>48084</v>
      </c>
    </row>
    <row r="36" spans="1:8" x14ac:dyDescent="0.25">
      <c r="A36">
        <v>21</v>
      </c>
      <c r="B36" s="3">
        <v>40183</v>
      </c>
      <c r="C36" t="s">
        <v>13</v>
      </c>
      <c r="D36" t="s">
        <v>19</v>
      </c>
      <c r="E36" t="s">
        <v>20</v>
      </c>
      <c r="F36">
        <v>10</v>
      </c>
      <c r="G36">
        <v>3459</v>
      </c>
      <c r="H36">
        <f t="shared" si="1"/>
        <v>34590</v>
      </c>
    </row>
    <row r="37" spans="1:8" x14ac:dyDescent="0.25">
      <c r="A37">
        <v>22</v>
      </c>
      <c r="B37" s="3">
        <v>40183</v>
      </c>
      <c r="C37" t="s">
        <v>14</v>
      </c>
      <c r="D37" t="s">
        <v>15</v>
      </c>
      <c r="E37" t="s">
        <v>20</v>
      </c>
      <c r="F37">
        <v>8</v>
      </c>
      <c r="G37">
        <v>2911</v>
      </c>
      <c r="H37">
        <f t="shared" si="1"/>
        <v>23288</v>
      </c>
    </row>
    <row r="38" spans="1:8" x14ac:dyDescent="0.25">
      <c r="A38">
        <v>23</v>
      </c>
      <c r="B38" s="3">
        <v>40179</v>
      </c>
      <c r="C38" t="s">
        <v>11</v>
      </c>
      <c r="D38" t="s">
        <v>15</v>
      </c>
      <c r="E38" t="s">
        <v>21</v>
      </c>
      <c r="F38">
        <v>10</v>
      </c>
      <c r="G38">
        <v>4057</v>
      </c>
      <c r="H38">
        <f>F38*G38</f>
        <v>40570</v>
      </c>
    </row>
    <row r="39" spans="1:8" x14ac:dyDescent="0.25">
      <c r="A39">
        <v>24</v>
      </c>
      <c r="B39" s="3">
        <v>40179</v>
      </c>
      <c r="C39" t="s">
        <v>14</v>
      </c>
      <c r="D39" t="s">
        <v>16</v>
      </c>
      <c r="E39" t="s">
        <v>21</v>
      </c>
      <c r="F39">
        <v>18</v>
      </c>
      <c r="G39">
        <v>3809</v>
      </c>
      <c r="H39">
        <f t="shared" ref="H39:H49" si="2">F39*G39</f>
        <v>68562</v>
      </c>
    </row>
    <row r="40" spans="1:8" x14ac:dyDescent="0.25">
      <c r="A40">
        <v>25</v>
      </c>
      <c r="B40" s="3">
        <v>40180</v>
      </c>
      <c r="C40" t="s">
        <v>10</v>
      </c>
      <c r="D40" t="s">
        <v>17</v>
      </c>
      <c r="E40" t="s">
        <v>21</v>
      </c>
      <c r="F40">
        <v>16</v>
      </c>
      <c r="G40">
        <v>3987</v>
      </c>
      <c r="H40">
        <f t="shared" si="2"/>
        <v>63792</v>
      </c>
    </row>
    <row r="41" spans="1:8" x14ac:dyDescent="0.25">
      <c r="A41">
        <v>26</v>
      </c>
      <c r="B41" s="3">
        <v>40180</v>
      </c>
      <c r="C41" t="s">
        <v>8</v>
      </c>
      <c r="D41" t="s">
        <v>18</v>
      </c>
      <c r="E41" t="s">
        <v>21</v>
      </c>
      <c r="F41">
        <v>10</v>
      </c>
      <c r="G41">
        <v>2346</v>
      </c>
      <c r="H41">
        <f t="shared" si="2"/>
        <v>23460</v>
      </c>
    </row>
    <row r="42" spans="1:8" x14ac:dyDescent="0.25">
      <c r="A42">
        <v>27</v>
      </c>
      <c r="B42" s="3">
        <v>40181</v>
      </c>
      <c r="C42" t="s">
        <v>8</v>
      </c>
      <c r="D42" t="s">
        <v>19</v>
      </c>
      <c r="E42" t="s">
        <v>21</v>
      </c>
      <c r="F42">
        <v>8</v>
      </c>
      <c r="G42">
        <v>4953</v>
      </c>
      <c r="H42">
        <f t="shared" si="2"/>
        <v>39624</v>
      </c>
    </row>
    <row r="43" spans="1:8" x14ac:dyDescent="0.25">
      <c r="A43">
        <v>28</v>
      </c>
      <c r="B43" s="3">
        <v>40181</v>
      </c>
      <c r="C43" t="s">
        <v>11</v>
      </c>
      <c r="D43" t="s">
        <v>15</v>
      </c>
      <c r="E43" t="s">
        <v>21</v>
      </c>
      <c r="F43">
        <v>18</v>
      </c>
      <c r="G43">
        <v>4088</v>
      </c>
      <c r="H43">
        <f t="shared" si="2"/>
        <v>73584</v>
      </c>
    </row>
    <row r="44" spans="1:8" x14ac:dyDescent="0.25">
      <c r="A44">
        <v>29</v>
      </c>
      <c r="B44" s="3">
        <v>40182</v>
      </c>
      <c r="C44" t="s">
        <v>14</v>
      </c>
      <c r="D44" t="s">
        <v>16</v>
      </c>
      <c r="E44" t="s">
        <v>21</v>
      </c>
      <c r="F44">
        <v>15</v>
      </c>
      <c r="G44">
        <v>2531</v>
      </c>
      <c r="H44">
        <f t="shared" si="2"/>
        <v>37965</v>
      </c>
    </row>
    <row r="45" spans="1:8" x14ac:dyDescent="0.25">
      <c r="A45">
        <v>30</v>
      </c>
      <c r="B45" s="3">
        <v>40182</v>
      </c>
      <c r="C45" t="s">
        <v>10</v>
      </c>
      <c r="D45" t="s">
        <v>17</v>
      </c>
      <c r="E45" t="s">
        <v>21</v>
      </c>
      <c r="F45">
        <v>13</v>
      </c>
      <c r="G45">
        <v>4716</v>
      </c>
      <c r="H45">
        <f t="shared" si="2"/>
        <v>61308</v>
      </c>
    </row>
    <row r="46" spans="1:8" x14ac:dyDescent="0.25">
      <c r="A46">
        <v>31</v>
      </c>
      <c r="B46" s="3">
        <v>40183</v>
      </c>
      <c r="C46" t="s">
        <v>8</v>
      </c>
      <c r="D46" t="s">
        <v>18</v>
      </c>
      <c r="E46" t="s">
        <v>21</v>
      </c>
      <c r="F46">
        <v>11</v>
      </c>
      <c r="G46">
        <v>2806</v>
      </c>
      <c r="H46">
        <f t="shared" si="2"/>
        <v>30866</v>
      </c>
    </row>
    <row r="47" spans="1:8" x14ac:dyDescent="0.25">
      <c r="A47">
        <v>32</v>
      </c>
      <c r="B47" s="3">
        <v>40183</v>
      </c>
      <c r="C47" t="s">
        <v>10</v>
      </c>
      <c r="D47" t="s">
        <v>19</v>
      </c>
      <c r="E47" t="s">
        <v>21</v>
      </c>
      <c r="F47">
        <v>5</v>
      </c>
      <c r="G47">
        <v>3350</v>
      </c>
      <c r="H47">
        <f t="shared" si="2"/>
        <v>16750</v>
      </c>
    </row>
    <row r="48" spans="1:8" x14ac:dyDescent="0.25">
      <c r="A48">
        <v>33</v>
      </c>
      <c r="B48" s="3">
        <v>40182</v>
      </c>
      <c r="C48" t="s">
        <v>12</v>
      </c>
      <c r="D48" t="s">
        <v>15</v>
      </c>
      <c r="E48" t="s">
        <v>21</v>
      </c>
      <c r="F48">
        <v>8</v>
      </c>
      <c r="G48">
        <v>2258</v>
      </c>
      <c r="H48">
        <f t="shared" si="2"/>
        <v>18064</v>
      </c>
    </row>
    <row r="49" spans="1:8" x14ac:dyDescent="0.25">
      <c r="A49">
        <v>34</v>
      </c>
      <c r="B49" s="3">
        <v>40183</v>
      </c>
      <c r="C49" t="s">
        <v>13</v>
      </c>
      <c r="D49" t="s">
        <v>16</v>
      </c>
      <c r="E49" t="s">
        <v>21</v>
      </c>
      <c r="F49">
        <v>12</v>
      </c>
      <c r="G49">
        <v>1575</v>
      </c>
      <c r="H49">
        <f t="shared" si="2"/>
        <v>18900</v>
      </c>
    </row>
    <row r="50" spans="1:8" x14ac:dyDescent="0.25">
      <c r="A50">
        <v>35</v>
      </c>
      <c r="B50" s="3">
        <v>40179</v>
      </c>
      <c r="C50" t="s">
        <v>13</v>
      </c>
      <c r="D50" t="s">
        <v>15</v>
      </c>
      <c r="E50" t="s">
        <v>22</v>
      </c>
      <c r="F50">
        <v>5</v>
      </c>
      <c r="G50">
        <v>3270</v>
      </c>
      <c r="H50">
        <f>F50*G50</f>
        <v>16350</v>
      </c>
    </row>
    <row r="51" spans="1:8" x14ac:dyDescent="0.25">
      <c r="A51">
        <v>36</v>
      </c>
      <c r="B51" s="3">
        <v>40179</v>
      </c>
      <c r="C51" t="s">
        <v>12</v>
      </c>
      <c r="D51" t="s">
        <v>16</v>
      </c>
      <c r="E51" t="s">
        <v>22</v>
      </c>
      <c r="F51">
        <v>17</v>
      </c>
      <c r="G51">
        <v>4245</v>
      </c>
      <c r="H51">
        <f t="shared" ref="H51:H62" si="3">F51*G51</f>
        <v>72165</v>
      </c>
    </row>
    <row r="52" spans="1:8" x14ac:dyDescent="0.25">
      <c r="A52">
        <v>37</v>
      </c>
      <c r="B52" s="3">
        <v>40180</v>
      </c>
      <c r="C52" t="s">
        <v>13</v>
      </c>
      <c r="D52" t="s">
        <v>17</v>
      </c>
      <c r="E52" t="s">
        <v>22</v>
      </c>
      <c r="F52">
        <v>5</v>
      </c>
      <c r="G52">
        <v>4864</v>
      </c>
      <c r="H52">
        <f t="shared" si="3"/>
        <v>24320</v>
      </c>
    </row>
    <row r="53" spans="1:8" x14ac:dyDescent="0.25">
      <c r="A53">
        <v>38</v>
      </c>
      <c r="B53" s="3">
        <v>40180</v>
      </c>
      <c r="C53" t="s">
        <v>13</v>
      </c>
      <c r="D53" t="s">
        <v>18</v>
      </c>
      <c r="E53" t="s">
        <v>22</v>
      </c>
      <c r="F53">
        <v>6</v>
      </c>
      <c r="G53">
        <v>2381</v>
      </c>
      <c r="H53">
        <f t="shared" si="3"/>
        <v>14286</v>
      </c>
    </row>
    <row r="54" spans="1:8" x14ac:dyDescent="0.25">
      <c r="A54">
        <v>39</v>
      </c>
      <c r="B54" s="3">
        <v>40181</v>
      </c>
      <c r="C54" t="s">
        <v>11</v>
      </c>
      <c r="D54" t="s">
        <v>19</v>
      </c>
      <c r="E54" t="s">
        <v>22</v>
      </c>
      <c r="F54">
        <v>10</v>
      </c>
      <c r="G54">
        <v>3503</v>
      </c>
      <c r="H54">
        <f t="shared" si="3"/>
        <v>35030</v>
      </c>
    </row>
    <row r="55" spans="1:8" x14ac:dyDescent="0.25">
      <c r="A55">
        <v>40</v>
      </c>
      <c r="B55" s="3">
        <v>40181</v>
      </c>
      <c r="C55" t="s">
        <v>13</v>
      </c>
      <c r="D55" t="s">
        <v>15</v>
      </c>
      <c r="E55" t="s">
        <v>22</v>
      </c>
      <c r="F55">
        <v>5</v>
      </c>
      <c r="G55">
        <v>3176</v>
      </c>
      <c r="H55">
        <f t="shared" si="3"/>
        <v>15880</v>
      </c>
    </row>
    <row r="56" spans="1:8" x14ac:dyDescent="0.25">
      <c r="A56">
        <v>41</v>
      </c>
      <c r="B56" s="3">
        <v>40182</v>
      </c>
      <c r="C56" t="s">
        <v>12</v>
      </c>
      <c r="D56" t="s">
        <v>16</v>
      </c>
      <c r="E56" t="s">
        <v>22</v>
      </c>
      <c r="F56">
        <v>12</v>
      </c>
      <c r="G56">
        <v>4192</v>
      </c>
      <c r="H56">
        <f t="shared" si="3"/>
        <v>50304</v>
      </c>
    </row>
    <row r="57" spans="1:8" x14ac:dyDescent="0.25">
      <c r="A57">
        <v>42</v>
      </c>
      <c r="B57" s="3">
        <v>40182</v>
      </c>
      <c r="C57" t="s">
        <v>13</v>
      </c>
      <c r="D57" t="s">
        <v>17</v>
      </c>
      <c r="E57" t="s">
        <v>22</v>
      </c>
      <c r="F57">
        <v>2</v>
      </c>
      <c r="G57">
        <v>4793</v>
      </c>
      <c r="H57">
        <f t="shared" si="3"/>
        <v>9586</v>
      </c>
    </row>
    <row r="58" spans="1:8" x14ac:dyDescent="0.25">
      <c r="A58">
        <v>43</v>
      </c>
      <c r="B58" s="3">
        <v>40183</v>
      </c>
      <c r="C58" t="s">
        <v>13</v>
      </c>
      <c r="D58" t="s">
        <v>18</v>
      </c>
      <c r="E58" t="s">
        <v>22</v>
      </c>
      <c r="F58">
        <v>5</v>
      </c>
      <c r="G58">
        <v>2204</v>
      </c>
      <c r="H58">
        <f t="shared" si="3"/>
        <v>11020</v>
      </c>
    </row>
    <row r="59" spans="1:8" x14ac:dyDescent="0.25">
      <c r="A59">
        <v>44</v>
      </c>
      <c r="B59" s="3">
        <v>40183</v>
      </c>
      <c r="C59" t="s">
        <v>11</v>
      </c>
      <c r="D59" t="s">
        <v>19</v>
      </c>
      <c r="E59" t="s">
        <v>22</v>
      </c>
      <c r="F59">
        <v>18</v>
      </c>
      <c r="G59">
        <v>4183</v>
      </c>
      <c r="H59">
        <f t="shared" si="3"/>
        <v>75294</v>
      </c>
    </row>
    <row r="60" spans="1:8" x14ac:dyDescent="0.25">
      <c r="A60">
        <v>45</v>
      </c>
      <c r="B60" s="3">
        <v>40182</v>
      </c>
      <c r="C60" t="s">
        <v>10</v>
      </c>
      <c r="D60" t="s">
        <v>15</v>
      </c>
      <c r="E60" t="s">
        <v>22</v>
      </c>
      <c r="F60">
        <v>20</v>
      </c>
      <c r="G60">
        <v>3521</v>
      </c>
      <c r="H60">
        <f t="shared" si="3"/>
        <v>70420</v>
      </c>
    </row>
    <row r="61" spans="1:8" x14ac:dyDescent="0.25">
      <c r="A61">
        <v>46</v>
      </c>
      <c r="B61" s="3">
        <v>40183</v>
      </c>
      <c r="C61" t="s">
        <v>8</v>
      </c>
      <c r="D61" t="s">
        <v>16</v>
      </c>
      <c r="E61" t="s">
        <v>22</v>
      </c>
      <c r="F61">
        <v>11</v>
      </c>
      <c r="G61">
        <v>5624</v>
      </c>
      <c r="H61">
        <f t="shared" si="3"/>
        <v>61864</v>
      </c>
    </row>
    <row r="62" spans="1:8" x14ac:dyDescent="0.25">
      <c r="A62">
        <v>47</v>
      </c>
      <c r="B62" s="3">
        <v>40183</v>
      </c>
      <c r="C62" t="s">
        <v>14</v>
      </c>
      <c r="D62" t="s">
        <v>17</v>
      </c>
      <c r="E62" t="s">
        <v>22</v>
      </c>
      <c r="F62">
        <v>18</v>
      </c>
      <c r="G62">
        <v>4526</v>
      </c>
      <c r="H62">
        <f t="shared" si="3"/>
        <v>81468</v>
      </c>
    </row>
    <row r="63" spans="1:8" x14ac:dyDescent="0.25">
      <c r="F63"/>
      <c r="G63"/>
      <c r="H63"/>
    </row>
    <row r="64" spans="1:8" x14ac:dyDescent="0.25">
      <c r="F64"/>
      <c r="G64"/>
      <c r="H64"/>
    </row>
    <row r="65" spans="6:8" x14ac:dyDescent="0.25">
      <c r="F65"/>
      <c r="G65"/>
      <c r="H65"/>
    </row>
    <row r="66" spans="6:8" x14ac:dyDescent="0.25">
      <c r="F66"/>
      <c r="G66"/>
      <c r="H66"/>
    </row>
    <row r="67" spans="6:8" x14ac:dyDescent="0.25">
      <c r="F67"/>
      <c r="G67"/>
      <c r="H67"/>
    </row>
    <row r="68" spans="6:8" x14ac:dyDescent="0.25">
      <c r="F68"/>
      <c r="G68"/>
      <c r="H68"/>
    </row>
    <row r="69" spans="6:8" x14ac:dyDescent="0.25">
      <c r="F69"/>
      <c r="G69"/>
      <c r="H69"/>
    </row>
    <row r="70" spans="6:8" x14ac:dyDescent="0.25">
      <c r="F70"/>
      <c r="G70"/>
      <c r="H70"/>
    </row>
    <row r="71" spans="6:8" x14ac:dyDescent="0.25">
      <c r="F71"/>
      <c r="G71"/>
      <c r="H71"/>
    </row>
    <row r="72" spans="6:8" x14ac:dyDescent="0.25">
      <c r="F72"/>
      <c r="G72"/>
      <c r="H72"/>
    </row>
    <row r="73" spans="6:8" x14ac:dyDescent="0.25">
      <c r="F73"/>
      <c r="G73"/>
      <c r="H73"/>
    </row>
    <row r="74" spans="6:8" x14ac:dyDescent="0.25">
      <c r="F74"/>
      <c r="G74"/>
      <c r="H74"/>
    </row>
    <row r="75" spans="6:8" x14ac:dyDescent="0.25">
      <c r="F75"/>
      <c r="G75"/>
      <c r="H75"/>
    </row>
    <row r="76" spans="6:8" x14ac:dyDescent="0.25">
      <c r="F76"/>
      <c r="G76"/>
      <c r="H76"/>
    </row>
    <row r="77" spans="6:8" x14ac:dyDescent="0.25">
      <c r="F77"/>
      <c r="G77"/>
      <c r="H77"/>
    </row>
    <row r="78" spans="6:8" x14ac:dyDescent="0.25">
      <c r="F78"/>
      <c r="G78"/>
      <c r="H78"/>
    </row>
    <row r="79" spans="6:8" x14ac:dyDescent="0.25">
      <c r="F79"/>
      <c r="G79"/>
      <c r="H79"/>
    </row>
    <row r="80" spans="6:8" x14ac:dyDescent="0.25">
      <c r="F80"/>
      <c r="G80"/>
      <c r="H80"/>
    </row>
    <row r="81" spans="6:8" x14ac:dyDescent="0.25">
      <c r="F81"/>
      <c r="G81"/>
      <c r="H81"/>
    </row>
    <row r="82" spans="6:8" x14ac:dyDescent="0.25">
      <c r="F82"/>
      <c r="G82"/>
      <c r="H82"/>
    </row>
    <row r="83" spans="6:8" x14ac:dyDescent="0.25">
      <c r="F83"/>
      <c r="G83"/>
      <c r="H83"/>
    </row>
    <row r="84" spans="6:8" x14ac:dyDescent="0.25">
      <c r="F84"/>
      <c r="G84"/>
      <c r="H84"/>
    </row>
  </sheetData>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34"/>
  <sheetViews>
    <sheetView workbookViewId="0"/>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 min="9" max="9" width="10" customWidth="1"/>
    <col min="10" max="10" width="10.42578125" style="3" bestFit="1" customWidth="1"/>
  </cols>
  <sheetData>
    <row r="1" spans="1:8" x14ac:dyDescent="0.25">
      <c r="A1" t="s">
        <v>7</v>
      </c>
      <c r="B1" t="s">
        <v>0</v>
      </c>
      <c r="C1" t="s">
        <v>1</v>
      </c>
      <c r="D1" t="s">
        <v>2</v>
      </c>
      <c r="E1" t="s">
        <v>3</v>
      </c>
      <c r="F1" t="s">
        <v>4</v>
      </c>
      <c r="G1" t="s">
        <v>5</v>
      </c>
      <c r="H1" t="s">
        <v>6</v>
      </c>
    </row>
    <row r="2" spans="1:8" x14ac:dyDescent="0.25">
      <c r="A2">
        <v>1</v>
      </c>
      <c r="B2" s="3">
        <v>40179</v>
      </c>
      <c r="C2" t="s">
        <v>10</v>
      </c>
      <c r="D2" t="s">
        <v>15</v>
      </c>
      <c r="E2" t="s">
        <v>9</v>
      </c>
      <c r="F2">
        <v>20</v>
      </c>
      <c r="G2">
        <v>2195</v>
      </c>
      <c r="H2">
        <f>F2*G2</f>
        <v>43900</v>
      </c>
    </row>
    <row r="3" spans="1:8" x14ac:dyDescent="0.25">
      <c r="A3">
        <v>2</v>
      </c>
      <c r="B3" s="3">
        <v>40179</v>
      </c>
      <c r="C3" t="s">
        <v>8</v>
      </c>
      <c r="D3" t="s">
        <v>16</v>
      </c>
      <c r="E3" t="s">
        <v>9</v>
      </c>
      <c r="F3">
        <v>16</v>
      </c>
      <c r="G3">
        <v>3971</v>
      </c>
      <c r="H3">
        <f t="shared" ref="H3:H12" si="0">F3*G3</f>
        <v>63536</v>
      </c>
    </row>
    <row r="4" spans="1:8" x14ac:dyDescent="0.25">
      <c r="A4">
        <v>3</v>
      </c>
      <c r="B4" s="3">
        <v>40180</v>
      </c>
      <c r="C4" t="s">
        <v>12</v>
      </c>
      <c r="D4" t="s">
        <v>17</v>
      </c>
      <c r="E4" t="s">
        <v>9</v>
      </c>
      <c r="F4">
        <v>11</v>
      </c>
      <c r="G4">
        <v>4859</v>
      </c>
      <c r="H4">
        <f t="shared" si="0"/>
        <v>53449</v>
      </c>
    </row>
    <row r="5" spans="1:8" x14ac:dyDescent="0.25">
      <c r="A5">
        <v>4</v>
      </c>
      <c r="B5" s="3">
        <v>40180</v>
      </c>
      <c r="C5" t="s">
        <v>14</v>
      </c>
      <c r="D5" t="s">
        <v>18</v>
      </c>
      <c r="E5" t="s">
        <v>9</v>
      </c>
      <c r="F5">
        <v>16</v>
      </c>
      <c r="G5">
        <v>2055</v>
      </c>
      <c r="H5">
        <f t="shared" si="0"/>
        <v>32880</v>
      </c>
    </row>
    <row r="6" spans="1:8" x14ac:dyDescent="0.25">
      <c r="A6">
        <v>5</v>
      </c>
      <c r="B6" s="3">
        <v>40181</v>
      </c>
      <c r="C6" t="s">
        <v>14</v>
      </c>
      <c r="D6" t="s">
        <v>19</v>
      </c>
      <c r="E6" t="s">
        <v>9</v>
      </c>
      <c r="F6">
        <v>17</v>
      </c>
      <c r="G6">
        <v>3892</v>
      </c>
      <c r="H6">
        <f t="shared" si="0"/>
        <v>66164</v>
      </c>
    </row>
    <row r="7" spans="1:8" x14ac:dyDescent="0.25">
      <c r="A7">
        <v>6</v>
      </c>
      <c r="B7" s="3">
        <v>40181</v>
      </c>
      <c r="C7" t="s">
        <v>10</v>
      </c>
      <c r="D7" t="s">
        <v>15</v>
      </c>
      <c r="E7" t="s">
        <v>9</v>
      </c>
      <c r="F7">
        <v>11</v>
      </c>
      <c r="G7">
        <v>4640</v>
      </c>
      <c r="H7">
        <f t="shared" si="0"/>
        <v>51040</v>
      </c>
    </row>
    <row r="8" spans="1:8" x14ac:dyDescent="0.25">
      <c r="A8">
        <v>7</v>
      </c>
      <c r="B8" s="3">
        <v>40182</v>
      </c>
      <c r="C8" t="s">
        <v>8</v>
      </c>
      <c r="D8" t="s">
        <v>16</v>
      </c>
      <c r="E8" t="s">
        <v>9</v>
      </c>
      <c r="F8">
        <v>16</v>
      </c>
      <c r="G8">
        <v>4610</v>
      </c>
      <c r="H8">
        <f t="shared" si="0"/>
        <v>73760</v>
      </c>
    </row>
    <row r="9" spans="1:8" x14ac:dyDescent="0.25">
      <c r="A9">
        <v>8</v>
      </c>
      <c r="B9" s="3">
        <v>40182</v>
      </c>
      <c r="C9" t="s">
        <v>12</v>
      </c>
      <c r="D9" t="s">
        <v>17</v>
      </c>
      <c r="E9" t="s">
        <v>9</v>
      </c>
      <c r="F9">
        <v>18</v>
      </c>
      <c r="G9">
        <v>2221</v>
      </c>
      <c r="H9">
        <f t="shared" si="0"/>
        <v>39978</v>
      </c>
    </row>
    <row r="10" spans="1:8" x14ac:dyDescent="0.25">
      <c r="A10">
        <v>9</v>
      </c>
      <c r="B10" s="3">
        <v>40183</v>
      </c>
      <c r="C10" t="s">
        <v>11</v>
      </c>
      <c r="D10" t="s">
        <v>18</v>
      </c>
      <c r="E10" t="s">
        <v>9</v>
      </c>
      <c r="F10">
        <v>14</v>
      </c>
      <c r="G10">
        <v>3949</v>
      </c>
      <c r="H10">
        <f t="shared" si="0"/>
        <v>55286</v>
      </c>
    </row>
    <row r="11" spans="1:8" x14ac:dyDescent="0.25">
      <c r="A11">
        <v>10</v>
      </c>
      <c r="B11" s="3">
        <v>40183</v>
      </c>
      <c r="C11" t="s">
        <v>14</v>
      </c>
      <c r="D11" t="s">
        <v>19</v>
      </c>
      <c r="E11" t="s">
        <v>9</v>
      </c>
      <c r="F11">
        <v>14</v>
      </c>
      <c r="G11">
        <v>2943</v>
      </c>
      <c r="H11">
        <f t="shared" si="0"/>
        <v>41202</v>
      </c>
    </row>
    <row r="12" spans="1:8" x14ac:dyDescent="0.25">
      <c r="A12">
        <v>11</v>
      </c>
      <c r="B12" s="3">
        <v>40183</v>
      </c>
      <c r="C12" t="s">
        <v>13</v>
      </c>
      <c r="D12" t="s">
        <v>17</v>
      </c>
      <c r="E12" t="s">
        <v>9</v>
      </c>
      <c r="F12">
        <v>10</v>
      </c>
      <c r="G12">
        <v>2000</v>
      </c>
      <c r="H12">
        <f t="shared" si="0"/>
        <v>20000</v>
      </c>
    </row>
    <row r="13" spans="1:8" x14ac:dyDescent="0.25">
      <c r="A13"/>
      <c r="B13" s="3"/>
      <c r="E13"/>
      <c r="F13"/>
      <c r="G13"/>
      <c r="H13"/>
    </row>
    <row r="14" spans="1:8" x14ac:dyDescent="0.25">
      <c r="A14"/>
      <c r="B14" s="3"/>
      <c r="E14"/>
      <c r="F14"/>
      <c r="G14"/>
      <c r="H14"/>
    </row>
    <row r="15" spans="1:8" x14ac:dyDescent="0.25">
      <c r="A15"/>
      <c r="B15" s="3"/>
      <c r="E15"/>
      <c r="F15"/>
      <c r="G15"/>
      <c r="H15"/>
    </row>
    <row r="16" spans="1:8" x14ac:dyDescent="0.25">
      <c r="A16"/>
      <c r="B16" s="3"/>
      <c r="E16"/>
      <c r="F16"/>
      <c r="G16"/>
      <c r="H16"/>
    </row>
    <row r="17" spans="1:8" x14ac:dyDescent="0.25">
      <c r="A17"/>
      <c r="B17" s="3"/>
      <c r="E17"/>
      <c r="F17"/>
      <c r="G17"/>
      <c r="H17"/>
    </row>
    <row r="18" spans="1:8" x14ac:dyDescent="0.25">
      <c r="A18"/>
      <c r="B18" s="3"/>
      <c r="E18"/>
      <c r="F18"/>
      <c r="G18"/>
      <c r="H18"/>
    </row>
    <row r="19" spans="1:8" x14ac:dyDescent="0.25">
      <c r="A19"/>
      <c r="B19" s="3"/>
      <c r="E19"/>
      <c r="F19"/>
      <c r="G19"/>
      <c r="H19"/>
    </row>
    <row r="20" spans="1:8" x14ac:dyDescent="0.25">
      <c r="A20"/>
      <c r="B20" s="3"/>
      <c r="E20"/>
      <c r="F20"/>
      <c r="G20"/>
      <c r="H20"/>
    </row>
    <row r="21" spans="1:8" x14ac:dyDescent="0.25">
      <c r="A21"/>
      <c r="B21" s="3"/>
      <c r="E21"/>
      <c r="F21"/>
      <c r="G21"/>
      <c r="H21"/>
    </row>
    <row r="22" spans="1:8" x14ac:dyDescent="0.25">
      <c r="A22"/>
      <c r="B22" s="3"/>
      <c r="E22"/>
      <c r="F22"/>
      <c r="G22"/>
      <c r="H22"/>
    </row>
    <row r="23" spans="1:8" x14ac:dyDescent="0.25">
      <c r="A23"/>
      <c r="B23" s="3"/>
      <c r="E23"/>
      <c r="F23"/>
      <c r="G23"/>
      <c r="H23"/>
    </row>
    <row r="24" spans="1:8" x14ac:dyDescent="0.25">
      <c r="A24"/>
      <c r="B24" s="3"/>
      <c r="E24"/>
      <c r="F24"/>
      <c r="G24"/>
      <c r="H24"/>
    </row>
    <row r="25" spans="1:8" x14ac:dyDescent="0.25">
      <c r="A25"/>
      <c r="B25" s="3"/>
      <c r="E25"/>
      <c r="F25"/>
      <c r="G25"/>
      <c r="H25"/>
    </row>
    <row r="26" spans="1:8" x14ac:dyDescent="0.25">
      <c r="A26"/>
      <c r="B26" s="3"/>
      <c r="E26"/>
      <c r="F26"/>
      <c r="G26"/>
      <c r="H26"/>
    </row>
    <row r="27" spans="1:8" x14ac:dyDescent="0.25">
      <c r="A27"/>
      <c r="B27" s="3"/>
      <c r="E27"/>
      <c r="F27"/>
      <c r="G27"/>
      <c r="H27"/>
    </row>
    <row r="28" spans="1:8" x14ac:dyDescent="0.25">
      <c r="A28"/>
      <c r="B28" s="3"/>
      <c r="E28"/>
      <c r="F28"/>
      <c r="G28"/>
      <c r="H28"/>
    </row>
    <row r="29" spans="1:8" x14ac:dyDescent="0.25">
      <c r="A29"/>
      <c r="B29" s="3"/>
      <c r="E29"/>
      <c r="F29"/>
      <c r="G29"/>
      <c r="H29"/>
    </row>
    <row r="30" spans="1:8" x14ac:dyDescent="0.25">
      <c r="A30"/>
      <c r="B30" s="3"/>
      <c r="E30"/>
      <c r="F30"/>
      <c r="G30"/>
      <c r="H30"/>
    </row>
    <row r="31" spans="1:8" x14ac:dyDescent="0.25">
      <c r="A31"/>
      <c r="B31" s="3"/>
      <c r="E31"/>
      <c r="F31"/>
      <c r="G31"/>
      <c r="H31"/>
    </row>
    <row r="32" spans="1:8" x14ac:dyDescent="0.25">
      <c r="A32"/>
      <c r="B32" s="3"/>
      <c r="E32"/>
      <c r="F32"/>
      <c r="G32"/>
      <c r="H32"/>
    </row>
    <row r="33" spans="1:8" x14ac:dyDescent="0.25">
      <c r="A33"/>
      <c r="B33" s="3"/>
      <c r="E33"/>
      <c r="F33"/>
      <c r="G33"/>
      <c r="H33"/>
    </row>
    <row r="34" spans="1:8" x14ac:dyDescent="0.25">
      <c r="A34"/>
      <c r="B34" s="3"/>
      <c r="E34"/>
      <c r="F34"/>
      <c r="G34"/>
      <c r="H34"/>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16"/>
  <sheetViews>
    <sheetView workbookViewId="0"/>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8</v>
      </c>
      <c r="D2" t="s">
        <v>15</v>
      </c>
      <c r="E2" t="s">
        <v>20</v>
      </c>
      <c r="F2">
        <v>16</v>
      </c>
      <c r="G2">
        <v>2856</v>
      </c>
      <c r="H2">
        <f>F2*G2</f>
        <v>45696</v>
      </c>
    </row>
    <row r="3" spans="1:8" x14ac:dyDescent="0.25">
      <c r="A3">
        <v>2</v>
      </c>
      <c r="B3" s="3">
        <v>40179</v>
      </c>
      <c r="C3" t="s">
        <v>10</v>
      </c>
      <c r="D3" t="s">
        <v>16</v>
      </c>
      <c r="E3" t="s">
        <v>20</v>
      </c>
      <c r="F3">
        <v>13</v>
      </c>
      <c r="G3">
        <v>2722</v>
      </c>
      <c r="H3">
        <f t="shared" ref="H3:H11" si="0">F3*G3</f>
        <v>35386</v>
      </c>
    </row>
    <row r="4" spans="1:8" x14ac:dyDescent="0.25">
      <c r="A4">
        <v>3</v>
      </c>
      <c r="B4" s="3">
        <v>40180</v>
      </c>
      <c r="C4" t="s">
        <v>11</v>
      </c>
      <c r="D4" t="s">
        <v>17</v>
      </c>
      <c r="E4" t="s">
        <v>20</v>
      </c>
      <c r="F4">
        <v>18</v>
      </c>
      <c r="G4">
        <v>2900</v>
      </c>
      <c r="H4">
        <f t="shared" si="0"/>
        <v>52200</v>
      </c>
    </row>
    <row r="5" spans="1:8" x14ac:dyDescent="0.25">
      <c r="A5">
        <v>4</v>
      </c>
      <c r="B5" s="3">
        <v>40180</v>
      </c>
      <c r="C5" t="s">
        <v>12</v>
      </c>
      <c r="D5" t="s">
        <v>18</v>
      </c>
      <c r="E5" t="s">
        <v>20</v>
      </c>
      <c r="F5">
        <v>13</v>
      </c>
      <c r="G5">
        <v>2236</v>
      </c>
      <c r="H5">
        <f t="shared" si="0"/>
        <v>29068</v>
      </c>
    </row>
    <row r="6" spans="1:8" x14ac:dyDescent="0.25">
      <c r="A6">
        <v>5</v>
      </c>
      <c r="B6" s="3">
        <v>40181</v>
      </c>
      <c r="C6" t="s">
        <v>13</v>
      </c>
      <c r="D6" t="s">
        <v>19</v>
      </c>
      <c r="E6" t="s">
        <v>20</v>
      </c>
      <c r="F6">
        <v>10</v>
      </c>
      <c r="G6">
        <v>4569</v>
      </c>
      <c r="H6">
        <f t="shared" si="0"/>
        <v>45690</v>
      </c>
    </row>
    <row r="7" spans="1:8" x14ac:dyDescent="0.25">
      <c r="A7">
        <v>6</v>
      </c>
      <c r="B7" s="3">
        <v>40181</v>
      </c>
      <c r="C7" t="s">
        <v>12</v>
      </c>
      <c r="D7" t="s">
        <v>15</v>
      </c>
      <c r="E7" t="s">
        <v>20</v>
      </c>
      <c r="F7">
        <v>11</v>
      </c>
      <c r="G7">
        <v>3782</v>
      </c>
      <c r="H7">
        <f t="shared" si="0"/>
        <v>41602</v>
      </c>
    </row>
    <row r="8" spans="1:8" x14ac:dyDescent="0.25">
      <c r="A8">
        <v>7</v>
      </c>
      <c r="B8" s="3">
        <v>40182</v>
      </c>
      <c r="C8" t="s">
        <v>10</v>
      </c>
      <c r="D8" t="s">
        <v>16</v>
      </c>
      <c r="E8" t="s">
        <v>20</v>
      </c>
      <c r="F8">
        <v>15</v>
      </c>
      <c r="G8">
        <v>2823</v>
      </c>
      <c r="H8">
        <f t="shared" si="0"/>
        <v>42345</v>
      </c>
    </row>
    <row r="9" spans="1:8" x14ac:dyDescent="0.25">
      <c r="A9">
        <v>8</v>
      </c>
      <c r="B9" s="3">
        <v>40182</v>
      </c>
      <c r="C9" t="s">
        <v>11</v>
      </c>
      <c r="D9" t="s">
        <v>17</v>
      </c>
      <c r="E9" t="s">
        <v>20</v>
      </c>
      <c r="F9">
        <v>12</v>
      </c>
      <c r="G9">
        <v>4729</v>
      </c>
      <c r="H9">
        <f t="shared" si="0"/>
        <v>56748</v>
      </c>
    </row>
    <row r="10" spans="1:8" x14ac:dyDescent="0.25">
      <c r="A10">
        <v>9</v>
      </c>
      <c r="B10" s="3">
        <v>40183</v>
      </c>
      <c r="C10" t="s">
        <v>12</v>
      </c>
      <c r="D10" t="s">
        <v>18</v>
      </c>
      <c r="E10" t="s">
        <v>20</v>
      </c>
      <c r="F10">
        <v>12</v>
      </c>
      <c r="G10">
        <v>4007</v>
      </c>
      <c r="H10">
        <f t="shared" si="0"/>
        <v>48084</v>
      </c>
    </row>
    <row r="11" spans="1:8" x14ac:dyDescent="0.25">
      <c r="A11">
        <v>10</v>
      </c>
      <c r="B11" s="3">
        <v>40183</v>
      </c>
      <c r="C11" t="s">
        <v>13</v>
      </c>
      <c r="D11" t="s">
        <v>19</v>
      </c>
      <c r="E11" t="s">
        <v>20</v>
      </c>
      <c r="F11">
        <v>10</v>
      </c>
      <c r="G11">
        <v>3459</v>
      </c>
      <c r="H11">
        <f t="shared" si="0"/>
        <v>34590</v>
      </c>
    </row>
    <row r="12" spans="1:8" x14ac:dyDescent="0.25">
      <c r="A12">
        <v>11</v>
      </c>
      <c r="B12" s="3">
        <v>40183</v>
      </c>
      <c r="C12" t="s">
        <v>14</v>
      </c>
      <c r="D12" t="s">
        <v>15</v>
      </c>
      <c r="E12" t="s">
        <v>20</v>
      </c>
      <c r="F12">
        <v>8</v>
      </c>
      <c r="G12">
        <v>2911</v>
      </c>
      <c r="H12">
        <f t="shared" ref="H12" si="1">F12*G12</f>
        <v>23288</v>
      </c>
    </row>
    <row r="13" spans="1:8" x14ac:dyDescent="0.25">
      <c r="A13"/>
      <c r="B13" s="3"/>
      <c r="E13"/>
      <c r="F13"/>
      <c r="G13"/>
      <c r="H13"/>
    </row>
    <row r="14" spans="1:8" x14ac:dyDescent="0.25">
      <c r="A14"/>
      <c r="B14" s="3"/>
      <c r="E14"/>
      <c r="F14"/>
      <c r="G14"/>
      <c r="H14"/>
    </row>
    <row r="15" spans="1:8" x14ac:dyDescent="0.25">
      <c r="A15"/>
      <c r="B15" s="3"/>
      <c r="E15"/>
      <c r="F15"/>
      <c r="G15"/>
      <c r="H15"/>
    </row>
    <row r="16" spans="1:8" x14ac:dyDescent="0.25">
      <c r="A16"/>
      <c r="B16" s="3"/>
      <c r="E16"/>
      <c r="F16"/>
      <c r="G16"/>
      <c r="H16"/>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13"/>
  <sheetViews>
    <sheetView workbookViewId="0"/>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11</v>
      </c>
      <c r="D2" t="s">
        <v>15</v>
      </c>
      <c r="E2" t="s">
        <v>21</v>
      </c>
      <c r="F2">
        <v>10</v>
      </c>
      <c r="G2">
        <v>4057</v>
      </c>
      <c r="H2">
        <f>F2*G2</f>
        <v>40570</v>
      </c>
    </row>
    <row r="3" spans="1:8" x14ac:dyDescent="0.25">
      <c r="A3">
        <v>2</v>
      </c>
      <c r="B3" s="3">
        <v>40179</v>
      </c>
      <c r="C3" t="s">
        <v>14</v>
      </c>
      <c r="D3" t="s">
        <v>16</v>
      </c>
      <c r="E3" t="s">
        <v>21</v>
      </c>
      <c r="F3">
        <v>18</v>
      </c>
      <c r="G3">
        <v>3809</v>
      </c>
      <c r="H3">
        <f t="shared" ref="H3:H11" si="0">F3*G3</f>
        <v>68562</v>
      </c>
    </row>
    <row r="4" spans="1:8" x14ac:dyDescent="0.25">
      <c r="A4">
        <v>3</v>
      </c>
      <c r="B4" s="3">
        <v>40180</v>
      </c>
      <c r="C4" t="s">
        <v>10</v>
      </c>
      <c r="D4" t="s">
        <v>17</v>
      </c>
      <c r="E4" t="s">
        <v>21</v>
      </c>
      <c r="F4">
        <v>16</v>
      </c>
      <c r="G4">
        <v>3987</v>
      </c>
      <c r="H4">
        <f t="shared" si="0"/>
        <v>63792</v>
      </c>
    </row>
    <row r="5" spans="1:8" x14ac:dyDescent="0.25">
      <c r="A5">
        <v>4</v>
      </c>
      <c r="B5" s="3">
        <v>40180</v>
      </c>
      <c r="C5" t="s">
        <v>8</v>
      </c>
      <c r="D5" t="s">
        <v>18</v>
      </c>
      <c r="E5" t="s">
        <v>21</v>
      </c>
      <c r="F5">
        <v>10</v>
      </c>
      <c r="G5">
        <v>2346</v>
      </c>
      <c r="H5">
        <f t="shared" si="0"/>
        <v>23460</v>
      </c>
    </row>
    <row r="6" spans="1:8" x14ac:dyDescent="0.25">
      <c r="A6">
        <v>5</v>
      </c>
      <c r="B6" s="3">
        <v>40181</v>
      </c>
      <c r="C6" t="s">
        <v>8</v>
      </c>
      <c r="D6" t="s">
        <v>19</v>
      </c>
      <c r="E6" t="s">
        <v>21</v>
      </c>
      <c r="F6">
        <v>8</v>
      </c>
      <c r="G6">
        <v>4953</v>
      </c>
      <c r="H6">
        <f t="shared" si="0"/>
        <v>39624</v>
      </c>
    </row>
    <row r="7" spans="1:8" x14ac:dyDescent="0.25">
      <c r="A7">
        <v>6</v>
      </c>
      <c r="B7" s="3">
        <v>40181</v>
      </c>
      <c r="C7" t="s">
        <v>11</v>
      </c>
      <c r="D7" t="s">
        <v>15</v>
      </c>
      <c r="E7" t="s">
        <v>21</v>
      </c>
      <c r="F7">
        <v>18</v>
      </c>
      <c r="G7">
        <v>4088</v>
      </c>
      <c r="H7">
        <f t="shared" si="0"/>
        <v>73584</v>
      </c>
    </row>
    <row r="8" spans="1:8" x14ac:dyDescent="0.25">
      <c r="A8">
        <v>7</v>
      </c>
      <c r="B8" s="3">
        <v>40182</v>
      </c>
      <c r="C8" t="s">
        <v>14</v>
      </c>
      <c r="D8" t="s">
        <v>16</v>
      </c>
      <c r="E8" t="s">
        <v>21</v>
      </c>
      <c r="F8">
        <v>15</v>
      </c>
      <c r="G8">
        <v>2531</v>
      </c>
      <c r="H8">
        <f t="shared" si="0"/>
        <v>37965</v>
      </c>
    </row>
    <row r="9" spans="1:8" x14ac:dyDescent="0.25">
      <c r="A9">
        <v>8</v>
      </c>
      <c r="B9" s="3">
        <v>40182</v>
      </c>
      <c r="C9" t="s">
        <v>10</v>
      </c>
      <c r="D9" t="s">
        <v>17</v>
      </c>
      <c r="E9" t="s">
        <v>21</v>
      </c>
      <c r="F9">
        <v>13</v>
      </c>
      <c r="G9">
        <v>4716</v>
      </c>
      <c r="H9">
        <f t="shared" si="0"/>
        <v>61308</v>
      </c>
    </row>
    <row r="10" spans="1:8" x14ac:dyDescent="0.25">
      <c r="A10">
        <v>9</v>
      </c>
      <c r="B10" s="3">
        <v>40183</v>
      </c>
      <c r="C10" t="s">
        <v>8</v>
      </c>
      <c r="D10" t="s">
        <v>18</v>
      </c>
      <c r="E10" t="s">
        <v>21</v>
      </c>
      <c r="F10">
        <v>11</v>
      </c>
      <c r="G10">
        <v>2806</v>
      </c>
      <c r="H10">
        <f t="shared" si="0"/>
        <v>30866</v>
      </c>
    </row>
    <row r="11" spans="1:8" x14ac:dyDescent="0.25">
      <c r="A11">
        <v>10</v>
      </c>
      <c r="B11" s="3">
        <v>40183</v>
      </c>
      <c r="C11" t="s">
        <v>10</v>
      </c>
      <c r="D11" t="s">
        <v>19</v>
      </c>
      <c r="E11" t="s">
        <v>21</v>
      </c>
      <c r="F11">
        <v>5</v>
      </c>
      <c r="G11">
        <v>3350</v>
      </c>
      <c r="H11">
        <f t="shared" si="0"/>
        <v>16750</v>
      </c>
    </row>
    <row r="12" spans="1:8" x14ac:dyDescent="0.25">
      <c r="A12">
        <v>11</v>
      </c>
      <c r="B12" s="3">
        <v>40182</v>
      </c>
      <c r="C12" t="s">
        <v>12</v>
      </c>
      <c r="D12" t="s">
        <v>15</v>
      </c>
      <c r="E12" t="s">
        <v>21</v>
      </c>
      <c r="F12">
        <v>8</v>
      </c>
      <c r="G12">
        <v>2258</v>
      </c>
      <c r="H12">
        <f t="shared" ref="H12:H13" si="1">F12*G12</f>
        <v>18064</v>
      </c>
    </row>
    <row r="13" spans="1:8" x14ac:dyDescent="0.25">
      <c r="A13">
        <v>12</v>
      </c>
      <c r="B13" s="3">
        <v>40183</v>
      </c>
      <c r="C13" t="s">
        <v>13</v>
      </c>
      <c r="D13" t="s">
        <v>16</v>
      </c>
      <c r="E13" t="s">
        <v>21</v>
      </c>
      <c r="F13">
        <v>12</v>
      </c>
      <c r="G13">
        <v>1575</v>
      </c>
      <c r="H13">
        <f t="shared" si="1"/>
        <v>18900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14"/>
  <sheetViews>
    <sheetView workbookViewId="0"/>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s="2" t="s">
        <v>7</v>
      </c>
      <c r="B1" s="2" t="s">
        <v>0</v>
      </c>
      <c r="C1" s="2" t="s">
        <v>1</v>
      </c>
      <c r="D1" s="2" t="s">
        <v>2</v>
      </c>
      <c r="E1" s="2" t="s">
        <v>3</v>
      </c>
      <c r="F1" s="2" t="s">
        <v>4</v>
      </c>
      <c r="G1" s="2" t="s">
        <v>5</v>
      </c>
      <c r="H1" s="2" t="s">
        <v>6</v>
      </c>
    </row>
    <row r="2" spans="1:8" x14ac:dyDescent="0.25">
      <c r="A2">
        <v>1</v>
      </c>
      <c r="B2" s="3">
        <v>40179</v>
      </c>
      <c r="C2" t="s">
        <v>13</v>
      </c>
      <c r="D2" t="s">
        <v>15</v>
      </c>
      <c r="E2" t="s">
        <v>22</v>
      </c>
      <c r="F2">
        <v>5</v>
      </c>
      <c r="G2">
        <v>3270</v>
      </c>
      <c r="H2">
        <f>F2*G2</f>
        <v>16350</v>
      </c>
    </row>
    <row r="3" spans="1:8" x14ac:dyDescent="0.25">
      <c r="A3">
        <v>2</v>
      </c>
      <c r="B3" s="3">
        <v>40179</v>
      </c>
      <c r="C3" t="s">
        <v>12</v>
      </c>
      <c r="D3" t="s">
        <v>16</v>
      </c>
      <c r="E3" t="s">
        <v>22</v>
      </c>
      <c r="F3">
        <v>17</v>
      </c>
      <c r="G3">
        <v>4245</v>
      </c>
      <c r="H3">
        <f t="shared" ref="H3:H11" si="0">F3*G3</f>
        <v>72165</v>
      </c>
    </row>
    <row r="4" spans="1:8" x14ac:dyDescent="0.25">
      <c r="A4">
        <v>3</v>
      </c>
      <c r="B4" s="3">
        <v>40180</v>
      </c>
      <c r="C4" t="s">
        <v>13</v>
      </c>
      <c r="D4" t="s">
        <v>17</v>
      </c>
      <c r="E4" t="s">
        <v>22</v>
      </c>
      <c r="F4">
        <v>5</v>
      </c>
      <c r="G4">
        <v>4864</v>
      </c>
      <c r="H4">
        <f t="shared" si="0"/>
        <v>24320</v>
      </c>
    </row>
    <row r="5" spans="1:8" x14ac:dyDescent="0.25">
      <c r="A5">
        <v>4</v>
      </c>
      <c r="B5" s="3">
        <v>40180</v>
      </c>
      <c r="C5" t="s">
        <v>13</v>
      </c>
      <c r="D5" t="s">
        <v>18</v>
      </c>
      <c r="E5" t="s">
        <v>22</v>
      </c>
      <c r="F5">
        <v>6</v>
      </c>
      <c r="G5">
        <v>2381</v>
      </c>
      <c r="H5">
        <f t="shared" si="0"/>
        <v>14286</v>
      </c>
    </row>
    <row r="6" spans="1:8" x14ac:dyDescent="0.25">
      <c r="A6">
        <v>5</v>
      </c>
      <c r="B6" s="3">
        <v>40181</v>
      </c>
      <c r="C6" t="s">
        <v>11</v>
      </c>
      <c r="D6" t="s">
        <v>19</v>
      </c>
      <c r="E6" t="s">
        <v>22</v>
      </c>
      <c r="F6">
        <v>10</v>
      </c>
      <c r="G6">
        <v>3503</v>
      </c>
      <c r="H6">
        <f t="shared" si="0"/>
        <v>35030</v>
      </c>
    </row>
    <row r="7" spans="1:8" x14ac:dyDescent="0.25">
      <c r="A7">
        <v>6</v>
      </c>
      <c r="B7" s="3">
        <v>40181</v>
      </c>
      <c r="C7" t="s">
        <v>13</v>
      </c>
      <c r="D7" t="s">
        <v>15</v>
      </c>
      <c r="E7" t="s">
        <v>22</v>
      </c>
      <c r="F7">
        <v>5</v>
      </c>
      <c r="G7">
        <v>3176</v>
      </c>
      <c r="H7">
        <f t="shared" si="0"/>
        <v>15880</v>
      </c>
    </row>
    <row r="8" spans="1:8" x14ac:dyDescent="0.25">
      <c r="A8">
        <v>7</v>
      </c>
      <c r="B8" s="3">
        <v>40182</v>
      </c>
      <c r="C8" t="s">
        <v>12</v>
      </c>
      <c r="D8" t="s">
        <v>16</v>
      </c>
      <c r="E8" t="s">
        <v>22</v>
      </c>
      <c r="F8">
        <v>12</v>
      </c>
      <c r="G8">
        <v>4192</v>
      </c>
      <c r="H8">
        <f t="shared" si="0"/>
        <v>50304</v>
      </c>
    </row>
    <row r="9" spans="1:8" x14ac:dyDescent="0.25">
      <c r="A9">
        <v>8</v>
      </c>
      <c r="B9" s="3">
        <v>40182</v>
      </c>
      <c r="C9" t="s">
        <v>13</v>
      </c>
      <c r="D9" t="s">
        <v>17</v>
      </c>
      <c r="E9" t="s">
        <v>22</v>
      </c>
      <c r="F9">
        <v>2</v>
      </c>
      <c r="G9">
        <v>4793</v>
      </c>
      <c r="H9">
        <f t="shared" si="0"/>
        <v>9586</v>
      </c>
    </row>
    <row r="10" spans="1:8" x14ac:dyDescent="0.25">
      <c r="A10">
        <v>9</v>
      </c>
      <c r="B10" s="3">
        <v>40183</v>
      </c>
      <c r="C10" t="s">
        <v>13</v>
      </c>
      <c r="D10" t="s">
        <v>18</v>
      </c>
      <c r="E10" t="s">
        <v>22</v>
      </c>
      <c r="F10">
        <v>5</v>
      </c>
      <c r="G10">
        <v>2204</v>
      </c>
      <c r="H10">
        <f t="shared" si="0"/>
        <v>11020</v>
      </c>
    </row>
    <row r="11" spans="1:8" x14ac:dyDescent="0.25">
      <c r="A11">
        <v>10</v>
      </c>
      <c r="B11" s="3">
        <v>40183</v>
      </c>
      <c r="C11" t="s">
        <v>11</v>
      </c>
      <c r="D11" t="s">
        <v>19</v>
      </c>
      <c r="E11" t="s">
        <v>22</v>
      </c>
      <c r="F11">
        <v>18</v>
      </c>
      <c r="G11">
        <v>4183</v>
      </c>
      <c r="H11">
        <f t="shared" si="0"/>
        <v>75294</v>
      </c>
    </row>
    <row r="12" spans="1:8" x14ac:dyDescent="0.25">
      <c r="A12">
        <v>11</v>
      </c>
      <c r="B12" s="3">
        <v>40182</v>
      </c>
      <c r="C12" t="s">
        <v>10</v>
      </c>
      <c r="D12" t="s">
        <v>15</v>
      </c>
      <c r="E12" t="s">
        <v>22</v>
      </c>
      <c r="F12">
        <v>20</v>
      </c>
      <c r="G12">
        <v>3521</v>
      </c>
      <c r="H12">
        <f t="shared" ref="H12:H14" si="1">F12*G12</f>
        <v>70420</v>
      </c>
    </row>
    <row r="13" spans="1:8" x14ac:dyDescent="0.25">
      <c r="A13">
        <v>12</v>
      </c>
      <c r="B13" s="3">
        <v>40183</v>
      </c>
      <c r="C13" t="s">
        <v>8</v>
      </c>
      <c r="D13" t="s">
        <v>16</v>
      </c>
      <c r="E13" t="s">
        <v>22</v>
      </c>
      <c r="F13">
        <v>11</v>
      </c>
      <c r="G13">
        <v>5624</v>
      </c>
      <c r="H13">
        <f t="shared" si="1"/>
        <v>61864</v>
      </c>
    </row>
    <row r="14" spans="1:8" x14ac:dyDescent="0.25">
      <c r="A14">
        <v>13</v>
      </c>
      <c r="B14" s="3">
        <v>40183</v>
      </c>
      <c r="C14" t="s">
        <v>14</v>
      </c>
      <c r="D14" t="s">
        <v>17</v>
      </c>
      <c r="E14" t="s">
        <v>22</v>
      </c>
      <c r="F14">
        <v>18</v>
      </c>
      <c r="G14">
        <v>4526</v>
      </c>
      <c r="H14">
        <f t="shared" si="1"/>
        <v>81468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B6"/>
  <sheetViews>
    <sheetView showGridLines="0" workbookViewId="0"/>
  </sheetViews>
  <sheetFormatPr defaultRowHeight="15" x14ac:dyDescent="0.25"/>
  <cols>
    <col min="1" max="1" width="15" style="4" bestFit="1" customWidth="1"/>
    <col min="2" max="2" width="7.85546875" style="4" bestFit="1" customWidth="1"/>
    <col min="3" max="4" width="9.5703125" style="4" bestFit="1" customWidth="1"/>
    <col min="5" max="16384" width="9.140625" style="4"/>
  </cols>
  <sheetData>
    <row r="1" spans="1:2" x14ac:dyDescent="0.25">
      <c r="A1" s="5"/>
    </row>
    <row r="2" spans="1:2" x14ac:dyDescent="0.25">
      <c r="A2" s="5"/>
      <c r="B2" s="4" t="s">
        <v>23</v>
      </c>
    </row>
    <row r="3" spans="1:2" x14ac:dyDescent="0.25">
      <c r="B3" s="4" t="s">
        <v>24</v>
      </c>
    </row>
    <row r="4" spans="1:2" x14ac:dyDescent="0.25">
      <c r="B4" s="4" t="s">
        <v>25</v>
      </c>
    </row>
    <row r="5" spans="1:2" x14ac:dyDescent="0.25">
      <c r="B5" s="4" t="s">
        <v>26</v>
      </c>
    </row>
    <row r="6" spans="1:2" x14ac:dyDescent="0.25">
      <c r="B6" s="4" t="s">
        <v>27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Manu</cp:lastModifiedBy>
  <dcterms:created xsi:type="dcterms:W3CDTF">2020-07-03T08:10:56Z</dcterms:created>
  <dcterms:modified xsi:type="dcterms:W3CDTF">2020-08-21T04:06:43Z</dcterms:modified>
</cp:coreProperties>
</file>